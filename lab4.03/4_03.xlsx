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ша\Desktop\"/>
    </mc:Choice>
  </mc:AlternateContent>
  <xr:revisionPtr revIDLastSave="0" documentId="13_ncr:1_{E84CDBF3-EFB9-4D78-82C8-BB2DE3393B58}" xr6:coauthVersionLast="47" xr6:coauthVersionMax="47" xr10:uidLastSave="{00000000-0000-0000-0000-000000000000}"/>
  <bookViews>
    <workbookView xWindow="11460" yWindow="0" windowWidth="11712" windowHeight="12360" activeTab="1" xr2:uid="{BEA8D975-D466-4CAB-ADFA-A4BD033CF633}"/>
  </bookViews>
  <sheets>
    <sheet name="фильтр 435 нм" sheetId="4" r:id="rId1"/>
    <sheet name="фильтр 546 нм" sheetId="1" r:id="rId2"/>
    <sheet name="фильтр 578 нм" sheetId="2" r:id="rId3"/>
    <sheet name="фильтр 630 нм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E17" i="4"/>
  <c r="B17" i="4"/>
  <c r="B14" i="3"/>
  <c r="B14" i="2"/>
  <c r="B14" i="1"/>
  <c r="B14" i="4"/>
  <c r="B13" i="4"/>
  <c r="E6" i="3"/>
  <c r="D6" i="3"/>
  <c r="C6" i="3"/>
  <c r="B6" i="3"/>
  <c r="E6" i="2"/>
  <c r="D6" i="2"/>
  <c r="C6" i="2"/>
  <c r="B6" i="2"/>
  <c r="E6" i="1"/>
  <c r="D6" i="1"/>
  <c r="O3" i="1" s="1"/>
  <c r="C6" i="1"/>
  <c r="B6" i="1"/>
  <c r="E6" i="4"/>
  <c r="D6" i="4"/>
  <c r="C6" i="4"/>
  <c r="B6" i="4"/>
  <c r="O2" i="1"/>
  <c r="F3" i="4"/>
  <c r="F6" i="4" s="1"/>
  <c r="F4" i="4"/>
  <c r="F5" i="4"/>
  <c r="R2" i="3"/>
  <c r="R2" i="1"/>
  <c r="R2" i="2"/>
  <c r="K5" i="4"/>
  <c r="J5" i="4"/>
  <c r="I5" i="4"/>
  <c r="H5" i="4"/>
  <c r="L5" i="4" s="1"/>
  <c r="L2" i="4"/>
  <c r="M2" i="4" s="1"/>
  <c r="L5" i="3"/>
  <c r="K5" i="3"/>
  <c r="J5" i="3"/>
  <c r="I5" i="3"/>
  <c r="H5" i="3"/>
  <c r="L2" i="3"/>
  <c r="M2" i="3" s="1"/>
  <c r="K5" i="2"/>
  <c r="J5" i="2"/>
  <c r="I5" i="2"/>
  <c r="H5" i="2"/>
  <c r="L5" i="2" s="1"/>
  <c r="M2" i="2"/>
  <c r="L2" i="2"/>
  <c r="L5" i="1"/>
  <c r="I5" i="1"/>
  <c r="J5" i="1"/>
  <c r="K5" i="1"/>
  <c r="H5" i="1"/>
  <c r="M2" i="1"/>
  <c r="L2" i="1"/>
  <c r="C7" i="4" l="1"/>
  <c r="D7" i="4"/>
  <c r="E7" i="4"/>
  <c r="C7" i="3"/>
  <c r="E7" i="3"/>
  <c r="K3" i="3" s="1"/>
  <c r="K4" i="3" s="1"/>
  <c r="B7" i="3"/>
  <c r="C7" i="2"/>
  <c r="E7" i="2"/>
  <c r="K3" i="2" s="1"/>
  <c r="K4" i="2" s="1"/>
  <c r="B7" i="2"/>
  <c r="B13" i="2" s="1"/>
  <c r="C7" i="1"/>
  <c r="E7" i="1"/>
  <c r="K3" i="1" s="1"/>
  <c r="K4" i="1" s="1"/>
  <c r="B7" i="1"/>
  <c r="B13" i="3" l="1"/>
  <c r="B13" i="1"/>
  <c r="O2" i="3"/>
  <c r="O3" i="3"/>
  <c r="O4" i="3"/>
  <c r="D7" i="3"/>
  <c r="I3" i="3"/>
  <c r="I4" i="3" s="1"/>
  <c r="H3" i="3"/>
  <c r="O2" i="2"/>
  <c r="O3" i="2"/>
  <c r="O4" i="2"/>
  <c r="D7" i="2"/>
  <c r="I3" i="2"/>
  <c r="I4" i="2" s="1"/>
  <c r="H3" i="2"/>
  <c r="O4" i="1"/>
  <c r="D7" i="1"/>
  <c r="I3" i="1"/>
  <c r="I4" i="1" s="1"/>
  <c r="H3" i="1"/>
  <c r="B7" i="4"/>
  <c r="H3" i="4" s="1"/>
  <c r="H4" i="4" s="1"/>
  <c r="J3" i="4"/>
  <c r="J4" i="4" s="1"/>
  <c r="K3" i="4"/>
  <c r="K4" i="4" s="1"/>
  <c r="I3" i="4"/>
  <c r="I4" i="4" s="1"/>
  <c r="J3" i="3" l="1"/>
  <c r="J4" i="3" s="1"/>
  <c r="O5" i="3"/>
  <c r="P2" i="3" s="1"/>
  <c r="Q2" i="3" s="1"/>
  <c r="S2" i="3" s="1"/>
  <c r="T2" i="3" s="1"/>
  <c r="B17" i="3"/>
  <c r="N9" i="3"/>
  <c r="H4" i="3"/>
  <c r="L4" i="3" s="1"/>
  <c r="J3" i="2"/>
  <c r="J4" i="2" s="1"/>
  <c r="O5" i="2"/>
  <c r="P2" i="2" s="1"/>
  <c r="Q2" i="2" s="1"/>
  <c r="S2" i="2" s="1"/>
  <c r="T2" i="2" s="1"/>
  <c r="O9" i="2"/>
  <c r="B17" i="2"/>
  <c r="H4" i="2"/>
  <c r="L4" i="2" s="1"/>
  <c r="L3" i="2"/>
  <c r="O5" i="1"/>
  <c r="P2" i="1" s="1"/>
  <c r="S2" i="1" s="1"/>
  <c r="T2" i="1" s="1"/>
  <c r="J3" i="1"/>
  <c r="J4" i="1" s="1"/>
  <c r="H4" i="1"/>
  <c r="L4" i="1" s="1"/>
  <c r="L3" i="1"/>
  <c r="N9" i="1"/>
  <c r="B17" i="1"/>
  <c r="L4" i="4"/>
  <c r="L3" i="4"/>
  <c r="C10" i="4" l="1"/>
  <c r="L3" i="3"/>
  <c r="B10" i="3" s="1"/>
  <c r="C10" i="3" s="1"/>
  <c r="B10" i="4"/>
  <c r="B10" i="2"/>
  <c r="C10" i="2" s="1"/>
  <c r="B10" i="1"/>
  <c r="C10" i="1" s="1"/>
</calcChain>
</file>

<file path=xl/sharedStrings.xml><?xml version="1.0" encoding="utf-8"?>
<sst xmlns="http://schemas.openxmlformats.org/spreadsheetml/2006/main" count="87" uniqueCount="27">
  <si>
    <t>r1</t>
  </si>
  <si>
    <t>r2</t>
  </si>
  <si>
    <t>r3</t>
  </si>
  <si>
    <t>rср</t>
  </si>
  <si>
    <t>номер кольца (n)</t>
  </si>
  <si>
    <t xml:space="preserve">мнк </t>
  </si>
  <si>
    <t>a</t>
  </si>
  <si>
    <t>b</t>
  </si>
  <si>
    <t>мнк рассчет</t>
  </si>
  <si>
    <t>x</t>
  </si>
  <si>
    <t>y</t>
  </si>
  <si>
    <t>x*y</t>
  </si>
  <si>
    <t>суммы</t>
  </si>
  <si>
    <t>r^2</t>
  </si>
  <si>
    <t>x^2</t>
  </si>
  <si>
    <t>радиус кривизны</t>
  </si>
  <si>
    <t>(x-xср)^2</t>
  </si>
  <si>
    <t xml:space="preserve">отклонение </t>
  </si>
  <si>
    <t>дов интервал</t>
  </si>
  <si>
    <t xml:space="preserve">сист </t>
  </si>
  <si>
    <t>абс</t>
  </si>
  <si>
    <t>отн</t>
  </si>
  <si>
    <t xml:space="preserve"> </t>
  </si>
  <si>
    <t>радиус кривизны в мкм</t>
  </si>
  <si>
    <t>среднее значение радиуса</t>
  </si>
  <si>
    <t>среднее значение всех радиусов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</si>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</sst>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"/>
    <numFmt numFmtId="165" formatCode="0.000000"/>
    <numFmt numFmtId="166" formatCode="0.0000"/>
    <numFmt numFmtId="167" formatCode="0.000000000"/>
    <numFmt numFmtId="168" formatCode="0.0000000000"/>
    <numFmt numFmtId="169" formatCode="0.000000000000"/>
  </numFmts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3" borderId="0" xfId="0" applyNumberFormat="1" applyFill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пупупупу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'фильтр 435 нм'!$B$2:$E$2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'фильтр 435 нм'!$B$7:$E$7</c:f>
              <c:numCache>
                <c:formatCode>0.00</c:formatCode>
                <c:ptCount val="4"/>
                <c:pt idx="0">
                  <c:v>1.1236000000000006</c:v>
                </c:pt>
                <c:pt idx="1">
                  <c:v>1.621377777777778</c:v>
                </c:pt>
                <c:pt idx="2">
                  <c:v>2.0640111111111112</c:v>
                </c:pt>
                <c:pt idx="3">
                  <c:v>2.5387111111111116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28-41CF-A014-2AD426E2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05535"/>
        <c:axId val="404811359"/>
      </c:scatterChart>
      <c:valAx>
        <c:axId val="404805535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n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11359"/>
        <c:crosses val="autoZero"/>
        <c:crossBetween val="midCat"/>
        <c:majorUnit val="1"/>
      </c:valAx>
      <c:valAx>
        <c:axId val="4048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r^2, </a:t>
                </a:r>
                <a:r>
                  <a:rPr lang="ru-RU"/>
                  <a:t>нм</a:t>
                </a:r>
                <a:r>
                  <a:rPr lang="en-US"/>
                  <a:t>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0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1"/>
            <c:trendlineLbl>
              <c:layout>
                <c:manualLayout>
                  <c:x val="-0.10708836136607185"/>
                  <c:y val="-1.75010697475396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'фильтр 546 нм'!$B$2:$E$2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'фильтр 546 нм'!$B$7:$E$7</c:f>
              <c:numCache>
                <c:formatCode>0.00</c:formatCode>
                <c:ptCount val="4"/>
                <c:pt idx="0">
                  <c:v>1.2173444444444443</c:v>
                </c:pt>
                <c:pt idx="1">
                  <c:v>1.7866777777777778</c:v>
                </c:pt>
                <c:pt idx="2">
                  <c:v>2.3002777777777781</c:v>
                </c:pt>
                <c:pt idx="3">
                  <c:v>2.7888999999999999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F-44E4-AB5C-8AED3E95E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05535"/>
        <c:axId val="404811359"/>
      </c:scatterChart>
      <c:valAx>
        <c:axId val="404805535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n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11359"/>
        <c:crosses val="autoZero"/>
        <c:crossBetween val="midCat"/>
        <c:majorUnit val="1"/>
      </c:valAx>
      <c:valAx>
        <c:axId val="4048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r^2, </a:t>
                </a:r>
                <a:r>
                  <a:rPr lang="ru-RU"/>
                  <a:t>нм</a:t>
                </a:r>
                <a:r>
                  <a:rPr lang="en-US"/>
                  <a:t>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0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r^2(n)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'фильтр 578 нм'!$B$2:$E$2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'фильтр 578 нм'!$B$7:$E$7</c:f>
              <c:numCache>
                <c:formatCode>0.00</c:formatCode>
                <c:ptCount val="4"/>
                <c:pt idx="0">
                  <c:v>1.2544000000000002</c:v>
                </c:pt>
                <c:pt idx="1">
                  <c:v>1.8315111111111115</c:v>
                </c:pt>
                <c:pt idx="2">
                  <c:v>2.4335999999999993</c:v>
                </c:pt>
                <c:pt idx="3">
                  <c:v>2.9583999999999997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6E-43B3-A8EA-09419422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05535"/>
        <c:axId val="404811359"/>
      </c:scatterChart>
      <c:valAx>
        <c:axId val="404805535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n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11359"/>
        <c:crosses val="autoZero"/>
        <c:crossBetween val="midCat"/>
        <c:majorUnit val="1"/>
      </c:valAx>
      <c:valAx>
        <c:axId val="4048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r^2, </a:t>
                </a:r>
                <a:r>
                  <a:rPr lang="ru-RU"/>
                  <a:t>нм</a:t>
                </a:r>
                <a:r>
                  <a:rPr lang="en-US"/>
                  <a:t>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0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пупу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back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'фильтр 630 нм'!$B$2:$E$2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'фильтр 630 нм'!$B$7:$E$7</c:f>
              <c:numCache>
                <c:formatCode>0.00</c:formatCode>
                <c:ptCount val="4"/>
                <c:pt idx="0">
                  <c:v>1.3301777777777772</c:v>
                </c:pt>
                <c:pt idx="1">
                  <c:v>1.9787111111111106</c:v>
                </c:pt>
                <c:pt idx="2">
                  <c:v>2.5493444444444453</c:v>
                </c:pt>
                <c:pt idx="3">
                  <c:v>3.1684000000000001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4D-4A96-A1B2-E6487F5FC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05535"/>
        <c:axId val="404811359"/>
      </c:scatterChart>
      <c:valAx>
        <c:axId val="404805535"/>
        <c:scaling>
          <c:orientation val="minMax"/>
          <c:max val="4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n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11359"/>
        <c:crosses val="autoZero"/>
        <c:crossBetween val="midCat"/>
        <c:majorUnit val="1"/>
      </c:valAx>
      <c:valAx>
        <c:axId val="4048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r^2, </a:t>
                </a:r>
                <a:r>
                  <a:rPr lang="ru-RU"/>
                  <a:t>нм</a:t>
                </a:r>
                <a:r>
                  <a:rPr lang="en-US"/>
                  <a:t>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80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7</xdr:row>
      <xdr:rowOff>121920</xdr:rowOff>
    </xdr:from>
    <xdr:to>
      <xdr:col>15</xdr:col>
      <xdr:colOff>441960</xdr:colOff>
      <xdr:row>23</xdr:row>
      <xdr:rowOff>163830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96136D-8DD6-47AD-B0D8-26B91B956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487680</xdr:colOff>
      <xdr:row>9</xdr:row>
      <xdr:rowOff>110490</xdr:rowOff>
    </xdr:from>
    <xdr:to>
      <xdr:col>21</xdr:col>
      <xdr:colOff>510540</xdr:colOff>
      <xdr:row>25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B027122-9FFA-402C-A428-2DEE42861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11</xdr:row>
      <xdr:rowOff>152400</xdr:rowOff>
    </xdr:from>
    <xdr:to>
      <xdr:col>12</xdr:col>
      <xdr:colOff>579120</xdr:colOff>
      <xdr:row>28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603E2B-9B84-4FB6-9003-D53C1553F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6</xdr:row>
      <xdr:rowOff>106680</xdr:rowOff>
    </xdr:from>
    <xdr:to>
      <xdr:col>14</xdr:col>
      <xdr:colOff>327660</xdr:colOff>
      <xdr:row>22</xdr:row>
      <xdr:rowOff>148590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A42853-599E-4438-8130-E2E6588B0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081F-5D20-4681-B35D-B17FEB8FF611}">
  <dimension ref="A1:S23"/>
  <sheetViews>
    <sheetView workbookViewId="0">
      <selection activeCell="F25" sqref="F25"/>
    </sheetView>
  </sheetViews>
  <sheetFormatPr defaultRowHeight="14.4" x14ac:dyDescent="0.3"/>
  <cols>
    <col min="2" max="2" width="14.5546875" bestFit="1" customWidth="1"/>
    <col min="10" max="10" width="12.44140625" bestFit="1" customWidth="1"/>
    <col min="16" max="16" width="9.44140625" bestFit="1" customWidth="1"/>
  </cols>
  <sheetData>
    <row r="1" spans="1:19" x14ac:dyDescent="0.3">
      <c r="B1" s="12" t="s">
        <v>4</v>
      </c>
      <c r="C1" s="12"/>
      <c r="D1" s="12"/>
      <c r="E1" s="12"/>
      <c r="G1" s="7"/>
      <c r="H1" s="7" t="s">
        <v>8</v>
      </c>
      <c r="I1" s="7"/>
      <c r="J1" s="7"/>
      <c r="K1" s="7"/>
      <c r="L1" s="7" t="s">
        <v>12</v>
      </c>
    </row>
    <row r="2" spans="1:19" x14ac:dyDescent="0.3">
      <c r="B2">
        <v>1</v>
      </c>
      <c r="C2">
        <v>2</v>
      </c>
      <c r="D2">
        <v>3</v>
      </c>
      <c r="E2">
        <v>4</v>
      </c>
      <c r="G2" s="7" t="s">
        <v>9</v>
      </c>
      <c r="H2">
        <v>1</v>
      </c>
      <c r="I2">
        <v>2</v>
      </c>
      <c r="J2">
        <v>3</v>
      </c>
      <c r="K2">
        <v>4</v>
      </c>
      <c r="L2" s="6">
        <f>SUM(H2:K2)</f>
        <v>10</v>
      </c>
      <c r="M2" s="6">
        <f>L2^2</f>
        <v>100</v>
      </c>
      <c r="O2" s="2"/>
      <c r="P2" s="1"/>
      <c r="Q2" s="3"/>
      <c r="S2" s="3"/>
    </row>
    <row r="3" spans="1:19" x14ac:dyDescent="0.3">
      <c r="A3" t="s">
        <v>0</v>
      </c>
      <c r="B3">
        <v>1.07</v>
      </c>
      <c r="C3">
        <v>1.28</v>
      </c>
      <c r="D3">
        <v>1.43</v>
      </c>
      <c r="E3">
        <v>1.6</v>
      </c>
      <c r="F3">
        <f>D3^2</f>
        <v>2.0448999999999997</v>
      </c>
      <c r="G3" s="7" t="s">
        <v>10</v>
      </c>
      <c r="H3" s="4">
        <f>B7</f>
        <v>1.1236000000000006</v>
      </c>
      <c r="I3" s="4">
        <f t="shared" ref="I3:K3" si="0">C7</f>
        <v>1.621377777777778</v>
      </c>
      <c r="J3" s="4">
        <f t="shared" si="0"/>
        <v>2.0640111111111112</v>
      </c>
      <c r="K3" s="4">
        <f t="shared" si="0"/>
        <v>2.5387111111111116</v>
      </c>
      <c r="L3" s="8">
        <f>SUM(H3:K3)</f>
        <v>7.3477000000000015</v>
      </c>
      <c r="O3" s="2"/>
    </row>
    <row r="4" spans="1:19" x14ac:dyDescent="0.3">
      <c r="A4" t="s">
        <v>1</v>
      </c>
      <c r="B4">
        <v>1.04</v>
      </c>
      <c r="C4">
        <v>1.28</v>
      </c>
      <c r="D4">
        <v>1.44</v>
      </c>
      <c r="E4">
        <v>1.59</v>
      </c>
      <c r="F4">
        <f t="shared" ref="F4:F5" si="1">D4^2</f>
        <v>2.0735999999999999</v>
      </c>
      <c r="G4" s="7" t="s">
        <v>11</v>
      </c>
      <c r="H4">
        <f>H2*H3</f>
        <v>1.1236000000000006</v>
      </c>
      <c r="I4">
        <f t="shared" ref="I4:J4" si="2">I2*I3</f>
        <v>3.2427555555555561</v>
      </c>
      <c r="J4">
        <f t="shared" si="2"/>
        <v>6.1920333333333337</v>
      </c>
      <c r="K4">
        <f>K2*K3</f>
        <v>10.154844444444446</v>
      </c>
      <c r="L4" s="6">
        <f>SUM(H4:K4)</f>
        <v>20.713233333333335</v>
      </c>
      <c r="O4" s="2"/>
    </row>
    <row r="5" spans="1:19" x14ac:dyDescent="0.3">
      <c r="A5" t="s">
        <v>2</v>
      </c>
      <c r="B5">
        <v>1.07</v>
      </c>
      <c r="C5">
        <v>1.26</v>
      </c>
      <c r="D5">
        <v>1.44</v>
      </c>
      <c r="E5">
        <v>1.59</v>
      </c>
      <c r="F5">
        <f t="shared" si="1"/>
        <v>2.0735999999999999</v>
      </c>
      <c r="G5" s="7" t="s">
        <v>14</v>
      </c>
      <c r="H5">
        <f>H2^2</f>
        <v>1</v>
      </c>
      <c r="I5">
        <f t="shared" ref="I5:K5" si="3">I2^2</f>
        <v>4</v>
      </c>
      <c r="J5">
        <f t="shared" si="3"/>
        <v>9</v>
      </c>
      <c r="K5">
        <f t="shared" si="3"/>
        <v>16</v>
      </c>
      <c r="L5" s="6">
        <f>SUM(H5:K5)</f>
        <v>30</v>
      </c>
      <c r="O5" s="2"/>
    </row>
    <row r="6" spans="1:19" x14ac:dyDescent="0.3">
      <c r="A6" t="s">
        <v>3</v>
      </c>
      <c r="B6">
        <f>AVERAGE(B3:B5)</f>
        <v>1.0600000000000003</v>
      </c>
      <c r="C6">
        <f t="shared" ref="C6:E6" si="4">AVERAGE(C3:C5)</f>
        <v>1.2733333333333334</v>
      </c>
      <c r="D6">
        <f t="shared" si="4"/>
        <v>1.4366666666666668</v>
      </c>
      <c r="E6">
        <f t="shared" si="4"/>
        <v>1.5933333333333335</v>
      </c>
      <c r="F6" s="4">
        <f t="shared" ref="C6:F6" si="5">AVERAGE(F3:F5)/2</f>
        <v>1.0320166666666666</v>
      </c>
    </row>
    <row r="7" spans="1:19" x14ac:dyDescent="0.3">
      <c r="A7" t="s">
        <v>13</v>
      </c>
      <c r="B7" s="4">
        <f>B6^2</f>
        <v>1.1236000000000006</v>
      </c>
      <c r="C7" s="4">
        <f t="shared" ref="C7:E7" si="6">C6^2</f>
        <v>1.621377777777778</v>
      </c>
      <c r="D7" s="4">
        <f t="shared" si="6"/>
        <v>2.0640111111111112</v>
      </c>
      <c r="E7" s="4">
        <f t="shared" si="6"/>
        <v>2.5387111111111116</v>
      </c>
      <c r="F7" s="4"/>
    </row>
    <row r="9" spans="1:19" x14ac:dyDescent="0.3">
      <c r="A9" s="5" t="s">
        <v>5</v>
      </c>
      <c r="B9" t="s">
        <v>6</v>
      </c>
      <c r="C9" t="s">
        <v>7</v>
      </c>
    </row>
    <row r="10" spans="1:19" x14ac:dyDescent="0.3">
      <c r="B10">
        <f>(4*L4-L2*L3)/(4*L5-M2)</f>
        <v>0.46879666666666608</v>
      </c>
      <c r="C10">
        <f>(L3-B10*L2)/4</f>
        <v>0.66493333333333515</v>
      </c>
    </row>
    <row r="12" spans="1:19" x14ac:dyDescent="0.3">
      <c r="A12" t="s">
        <v>23</v>
      </c>
      <c r="E12" s="5" t="s">
        <v>25</v>
      </c>
      <c r="F12" s="5"/>
      <c r="G12" s="5"/>
    </row>
    <row r="13" spans="1:19" x14ac:dyDescent="0.3">
      <c r="A13">
        <v>1.2</v>
      </c>
      <c r="B13" s="2">
        <f>(C7-B7)/(435*10^(-3))</f>
        <v>1.1443167305236264</v>
      </c>
      <c r="C13" s="2"/>
      <c r="D13">
        <v>435</v>
      </c>
      <c r="E13">
        <v>1.1143465304384841</v>
      </c>
      <c r="J13" s="10"/>
    </row>
    <row r="14" spans="1:19" x14ac:dyDescent="0.3">
      <c r="A14">
        <v>1.4</v>
      </c>
      <c r="B14" s="2">
        <f>(E7-B7)/(3*435*10^(-3))</f>
        <v>1.0843763303533418</v>
      </c>
      <c r="D14">
        <v>546</v>
      </c>
      <c r="E14">
        <v>1.0010853344186676</v>
      </c>
    </row>
    <row r="15" spans="1:19" x14ac:dyDescent="0.3">
      <c r="D15">
        <v>578</v>
      </c>
      <c r="E15">
        <v>0.99058054594386791</v>
      </c>
    </row>
    <row r="16" spans="1:19" x14ac:dyDescent="0.3">
      <c r="A16" s="5" t="s">
        <v>24</v>
      </c>
      <c r="D16">
        <v>630</v>
      </c>
      <c r="E16">
        <v>1.001011169900059</v>
      </c>
    </row>
    <row r="17" spans="2:9" x14ac:dyDescent="0.3">
      <c r="B17" s="2">
        <f>AVERAGE(B13:B14)</f>
        <v>1.1143465304384841</v>
      </c>
      <c r="D17" s="5" t="s">
        <v>26</v>
      </c>
      <c r="E17" s="5">
        <f>AVERAGE(E13:E16)</f>
        <v>1.0267558951752696</v>
      </c>
      <c r="G17" s="2"/>
    </row>
    <row r="23" spans="2:9" x14ac:dyDescent="0.3">
      <c r="I23" t="s">
        <v>22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5605-6F81-44F2-8D8F-09CF3C692D18}">
  <dimension ref="A1:T17"/>
  <sheetViews>
    <sheetView tabSelected="1" workbookViewId="0">
      <selection activeCell="O2" sqref="O2"/>
    </sheetView>
  </sheetViews>
  <sheetFormatPr defaultRowHeight="14.4" x14ac:dyDescent="0.3"/>
  <cols>
    <col min="3" max="3" width="10.44140625" bestFit="1" customWidth="1"/>
    <col min="14" max="14" width="12" bestFit="1" customWidth="1"/>
    <col min="16" max="16" width="9.44140625" bestFit="1" customWidth="1"/>
  </cols>
  <sheetData>
    <row r="1" spans="1:20" x14ac:dyDescent="0.3">
      <c r="B1" s="12" t="s">
        <v>4</v>
      </c>
      <c r="C1" s="12"/>
      <c r="D1" s="12"/>
      <c r="E1" s="12"/>
      <c r="G1" s="7"/>
      <c r="H1" s="7" t="s">
        <v>8</v>
      </c>
      <c r="I1" s="7"/>
      <c r="J1" s="7"/>
      <c r="K1" s="7"/>
      <c r="L1" s="7" t="s">
        <v>12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B2">
        <v>1</v>
      </c>
      <c r="C2">
        <v>2</v>
      </c>
      <c r="D2">
        <v>3</v>
      </c>
      <c r="E2">
        <v>4</v>
      </c>
      <c r="G2" s="7" t="s">
        <v>9</v>
      </c>
      <c r="H2">
        <v>1</v>
      </c>
      <c r="I2">
        <v>2</v>
      </c>
      <c r="J2">
        <v>3</v>
      </c>
      <c r="K2">
        <v>4</v>
      </c>
      <c r="L2" s="6">
        <f>SUM(H2:K2)</f>
        <v>10</v>
      </c>
      <c r="M2" s="6">
        <f>L2^2</f>
        <v>100</v>
      </c>
      <c r="O2" s="2">
        <f>($D$6-D3)^2</f>
        <v>4.44444444444465E-5</v>
      </c>
      <c r="P2" s="1">
        <f>SQRT(O5/6)</f>
        <v>3.3333333333333366E-3</v>
      </c>
      <c r="Q2" s="3">
        <f>P2*4.3</f>
        <v>1.4333333333333347E-2</v>
      </c>
      <c r="R2">
        <f>0.95*0.05</f>
        <v>4.7500000000000001E-2</v>
      </c>
      <c r="S2" s="3">
        <f>SQRT(Q2^2+R2^2)</f>
        <v>4.9615465778771489E-2</v>
      </c>
      <c r="T2">
        <f>S2/D6</f>
        <v>3.2713493920069107E-2</v>
      </c>
    </row>
    <row r="3" spans="1:20" x14ac:dyDescent="0.3">
      <c r="A3" t="s">
        <v>0</v>
      </c>
      <c r="B3">
        <v>1.1200000000000001</v>
      </c>
      <c r="C3">
        <v>1.34</v>
      </c>
      <c r="D3">
        <v>1.51</v>
      </c>
      <c r="E3">
        <v>1.67</v>
      </c>
      <c r="G3" s="7" t="s">
        <v>10</v>
      </c>
      <c r="H3" s="4">
        <f>B7</f>
        <v>1.2173444444444443</v>
      </c>
      <c r="I3" s="4">
        <f t="shared" ref="I3:K3" si="0">C7</f>
        <v>1.7866777777777778</v>
      </c>
      <c r="J3" s="4">
        <f t="shared" si="0"/>
        <v>2.3002777777777781</v>
      </c>
      <c r="K3" s="4">
        <f t="shared" si="0"/>
        <v>2.7888999999999999</v>
      </c>
      <c r="L3" s="8">
        <f>SUM(H3:K3)</f>
        <v>8.0931999999999995</v>
      </c>
      <c r="O3" s="2">
        <f>($D$6-D4)^2</f>
        <v>1.1111111111110144E-5</v>
      </c>
    </row>
    <row r="4" spans="1:20" x14ac:dyDescent="0.3">
      <c r="A4" t="s">
        <v>1</v>
      </c>
      <c r="B4">
        <v>1.0900000000000001</v>
      </c>
      <c r="C4">
        <v>1.34</v>
      </c>
      <c r="D4">
        <v>1.52</v>
      </c>
      <c r="E4">
        <v>1.67</v>
      </c>
      <c r="G4" s="7" t="s">
        <v>11</v>
      </c>
      <c r="H4">
        <f>H2*H3</f>
        <v>1.2173444444444443</v>
      </c>
      <c r="I4">
        <f t="shared" ref="I4:K4" si="1">I2*I3</f>
        <v>3.5733555555555556</v>
      </c>
      <c r="J4">
        <f t="shared" si="1"/>
        <v>6.9008333333333347</v>
      </c>
      <c r="K4">
        <f t="shared" si="1"/>
        <v>11.1556</v>
      </c>
      <c r="L4" s="6">
        <f>SUM(H4:K4)</f>
        <v>22.847133333333336</v>
      </c>
      <c r="O4" s="2">
        <f t="shared" ref="O4" si="2">($D$6-D5)^2</f>
        <v>1.1111111111110144E-5</v>
      </c>
    </row>
    <row r="5" spans="1:20" x14ac:dyDescent="0.3">
      <c r="A5" t="s">
        <v>2</v>
      </c>
      <c r="B5">
        <v>1.1000000000000001</v>
      </c>
      <c r="C5">
        <v>1.33</v>
      </c>
      <c r="D5">
        <v>1.52</v>
      </c>
      <c r="E5">
        <v>1.67</v>
      </c>
      <c r="G5" s="7" t="s">
        <v>14</v>
      </c>
      <c r="H5">
        <f>H2^2</f>
        <v>1</v>
      </c>
      <c r="I5">
        <f t="shared" ref="I5:K5" si="3">I2^2</f>
        <v>4</v>
      </c>
      <c r="J5">
        <f t="shared" si="3"/>
        <v>9</v>
      </c>
      <c r="K5">
        <f t="shared" si="3"/>
        <v>16</v>
      </c>
      <c r="L5" s="6">
        <f>SUM(H5:K5)</f>
        <v>30</v>
      </c>
      <c r="O5" s="2">
        <f>SUM(O2:O4)</f>
        <v>6.6666666666666792E-5</v>
      </c>
    </row>
    <row r="6" spans="1:20" x14ac:dyDescent="0.3">
      <c r="A6" t="s">
        <v>3</v>
      </c>
      <c r="B6">
        <f>AVERAGE(B3:B5)</f>
        <v>1.1033333333333333</v>
      </c>
      <c r="C6">
        <f t="shared" ref="C6:E6" si="4">AVERAGE(C3:C5)</f>
        <v>1.3366666666666667</v>
      </c>
      <c r="D6">
        <f t="shared" si="4"/>
        <v>1.5166666666666668</v>
      </c>
      <c r="E6">
        <f t="shared" si="4"/>
        <v>1.67</v>
      </c>
    </row>
    <row r="7" spans="1:20" x14ac:dyDescent="0.3">
      <c r="A7" t="s">
        <v>13</v>
      </c>
      <c r="B7" s="4">
        <f>B6^2</f>
        <v>1.2173444444444443</v>
      </c>
      <c r="C7" s="4">
        <f t="shared" ref="C7:E7" si="5">C6^2</f>
        <v>1.7866777777777778</v>
      </c>
      <c r="D7" s="4">
        <f t="shared" si="5"/>
        <v>2.3002777777777781</v>
      </c>
      <c r="E7" s="4">
        <f t="shared" si="5"/>
        <v>2.7888999999999999</v>
      </c>
    </row>
    <row r="9" spans="1:20" x14ac:dyDescent="0.3">
      <c r="A9" s="5" t="s">
        <v>5</v>
      </c>
      <c r="B9" t="s">
        <v>6</v>
      </c>
      <c r="C9" t="s">
        <v>7</v>
      </c>
      <c r="N9" s="9">
        <f>SQRT(((2*A13-2*A14)/546)^2)*B13</f>
        <v>1.1076672615134153E-2</v>
      </c>
    </row>
    <row r="10" spans="1:20" x14ac:dyDescent="0.3">
      <c r="B10">
        <f>(4*L4-L2*L3)/(4*L5-M2)</f>
        <v>0.52282666666666766</v>
      </c>
      <c r="C10">
        <f>(L3-B10*L2)/4</f>
        <v>0.71623333333333061</v>
      </c>
    </row>
    <row r="12" spans="1:20" x14ac:dyDescent="0.3">
      <c r="A12" t="s">
        <v>15</v>
      </c>
    </row>
    <row r="13" spans="1:20" x14ac:dyDescent="0.3">
      <c r="A13">
        <v>1.2</v>
      </c>
      <c r="B13" s="2">
        <f>(C7-B7)/(10^(-3)*546)</f>
        <v>1.0427350427350428</v>
      </c>
      <c r="C13" s="2"/>
    </row>
    <row r="14" spans="1:20" x14ac:dyDescent="0.3">
      <c r="A14">
        <v>4.0999999999999996</v>
      </c>
      <c r="B14">
        <f>(E7-B7)/(3*10^(-3)*546)</f>
        <v>0.95943562610229272</v>
      </c>
    </row>
    <row r="16" spans="1:20" x14ac:dyDescent="0.3">
      <c r="A16" s="5" t="s">
        <v>24</v>
      </c>
    </row>
    <row r="17" spans="2:2" x14ac:dyDescent="0.3">
      <c r="B17" s="2">
        <f>AVERAGE(B13:B15)</f>
        <v>1.0010853344186676</v>
      </c>
    </row>
  </sheetData>
  <mergeCells count="1">
    <mergeCell ref="B1:E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0C05-B142-45C0-8520-8E6D8E0B5AA0}">
  <dimension ref="A1:T17"/>
  <sheetViews>
    <sheetView workbookViewId="0">
      <selection activeCell="C19" sqref="C19"/>
    </sheetView>
  </sheetViews>
  <sheetFormatPr defaultRowHeight="14.4" x14ac:dyDescent="0.3"/>
  <cols>
    <col min="15" max="15" width="14.5546875" bestFit="1" customWidth="1"/>
    <col min="16" max="16" width="9.44140625" bestFit="1" customWidth="1"/>
  </cols>
  <sheetData>
    <row r="1" spans="1:20" x14ac:dyDescent="0.3">
      <c r="B1" s="12" t="s">
        <v>4</v>
      </c>
      <c r="C1" s="12"/>
      <c r="D1" s="12"/>
      <c r="E1" s="12"/>
      <c r="G1" s="7"/>
      <c r="H1" s="7" t="s">
        <v>8</v>
      </c>
      <c r="I1" s="7"/>
      <c r="J1" s="7"/>
      <c r="K1" s="7"/>
      <c r="L1" s="7" t="s">
        <v>12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B2">
        <v>1</v>
      </c>
      <c r="C2">
        <v>2</v>
      </c>
      <c r="D2">
        <v>3</v>
      </c>
      <c r="E2">
        <v>4</v>
      </c>
      <c r="G2" s="7" t="s">
        <v>9</v>
      </c>
      <c r="H2">
        <v>1</v>
      </c>
      <c r="I2">
        <v>2</v>
      </c>
      <c r="J2">
        <v>3</v>
      </c>
      <c r="K2">
        <v>4</v>
      </c>
      <c r="L2" s="6">
        <f>SUM(H2:K2)</f>
        <v>10</v>
      </c>
      <c r="M2" s="6">
        <f>L2^2</f>
        <v>100</v>
      </c>
      <c r="O2" s="2">
        <f>($D$6-D3)^2</f>
        <v>4.9303806576313238E-32</v>
      </c>
      <c r="P2" s="1">
        <f>SQRT(O5/6)</f>
        <v>1.5700924586837752E-16</v>
      </c>
      <c r="Q2" s="3">
        <f>P2*4.3</f>
        <v>6.7513975723402332E-16</v>
      </c>
      <c r="R2">
        <f>0.95*0.05</f>
        <v>4.7500000000000001E-2</v>
      </c>
      <c r="S2" s="3">
        <f>SQRT(Q2^2+R2^2)</f>
        <v>4.7500000000000001E-2</v>
      </c>
      <c r="T2">
        <f>S2/D6</f>
        <v>3.0448717948717952E-2</v>
      </c>
    </row>
    <row r="3" spans="1:20" x14ac:dyDescent="0.3">
      <c r="A3" t="s">
        <v>0</v>
      </c>
      <c r="B3">
        <v>1.1299999999999999</v>
      </c>
      <c r="C3">
        <v>1.36</v>
      </c>
      <c r="D3">
        <v>1.56</v>
      </c>
      <c r="E3">
        <v>1.71</v>
      </c>
      <c r="G3" s="7" t="s">
        <v>10</v>
      </c>
      <c r="H3" s="4">
        <f>B7</f>
        <v>1.2544000000000002</v>
      </c>
      <c r="I3" s="4">
        <f t="shared" ref="I3:K3" si="0">C7</f>
        <v>1.8315111111111115</v>
      </c>
      <c r="J3" s="4">
        <f t="shared" si="0"/>
        <v>2.4335999999999993</v>
      </c>
      <c r="K3" s="4">
        <f t="shared" si="0"/>
        <v>2.9583999999999997</v>
      </c>
      <c r="L3" s="8">
        <f>SUM(H3:K3)</f>
        <v>8.4779111111111103</v>
      </c>
      <c r="O3" s="2">
        <f t="shared" ref="O3:O4" si="1">($D$6-D4)^2</f>
        <v>4.9303806576313238E-32</v>
      </c>
    </row>
    <row r="4" spans="1:20" x14ac:dyDescent="0.3">
      <c r="A4" t="s">
        <v>1</v>
      </c>
      <c r="B4">
        <v>1.1200000000000001</v>
      </c>
      <c r="C4">
        <v>1.36</v>
      </c>
      <c r="D4">
        <v>1.56</v>
      </c>
      <c r="E4">
        <v>1.73</v>
      </c>
      <c r="G4" s="7" t="s">
        <v>11</v>
      </c>
      <c r="H4">
        <f>H2*H3</f>
        <v>1.2544000000000002</v>
      </c>
      <c r="I4">
        <f t="shared" ref="I4:K4" si="2">I2*I3</f>
        <v>3.6630222222222231</v>
      </c>
      <c r="J4">
        <f t="shared" si="2"/>
        <v>7.300799999999998</v>
      </c>
      <c r="K4">
        <f t="shared" si="2"/>
        <v>11.833599999999999</v>
      </c>
      <c r="L4" s="6">
        <f>SUM(H4:K4)</f>
        <v>24.051822222222221</v>
      </c>
      <c r="O4" s="2">
        <f t="shared" si="1"/>
        <v>4.9303806576313238E-32</v>
      </c>
    </row>
    <row r="5" spans="1:20" x14ac:dyDescent="0.3">
      <c r="A5" t="s">
        <v>2</v>
      </c>
      <c r="B5">
        <v>1.1100000000000001</v>
      </c>
      <c r="C5">
        <v>1.34</v>
      </c>
      <c r="D5">
        <v>1.56</v>
      </c>
      <c r="E5">
        <v>1.72</v>
      </c>
      <c r="G5" s="7" t="s">
        <v>14</v>
      </c>
      <c r="H5">
        <f>H2^2</f>
        <v>1</v>
      </c>
      <c r="I5">
        <f t="shared" ref="I5:K5" si="3">I2^2</f>
        <v>4</v>
      </c>
      <c r="J5">
        <f t="shared" si="3"/>
        <v>9</v>
      </c>
      <c r="K5">
        <f t="shared" si="3"/>
        <v>16</v>
      </c>
      <c r="L5" s="6">
        <f>SUM(H5:K5)</f>
        <v>30</v>
      </c>
      <c r="O5" s="2">
        <f>SUM(O2:O4)</f>
        <v>1.4791141972893971E-31</v>
      </c>
    </row>
    <row r="6" spans="1:20" x14ac:dyDescent="0.3">
      <c r="A6" t="s">
        <v>3</v>
      </c>
      <c r="B6">
        <f>AVERAGE(B3:B5)</f>
        <v>1.1200000000000001</v>
      </c>
      <c r="C6">
        <f t="shared" ref="C6:E6" si="4">AVERAGE(C3:C5)</f>
        <v>1.3533333333333335</v>
      </c>
      <c r="D6">
        <f t="shared" si="4"/>
        <v>1.5599999999999998</v>
      </c>
      <c r="E6">
        <f t="shared" si="4"/>
        <v>1.72</v>
      </c>
    </row>
    <row r="7" spans="1:20" x14ac:dyDescent="0.3">
      <c r="B7" s="4">
        <f>B6^2</f>
        <v>1.2544000000000002</v>
      </c>
      <c r="C7" s="4">
        <f t="shared" ref="C7:E7" si="5">C6^2</f>
        <v>1.8315111111111115</v>
      </c>
      <c r="D7" s="4">
        <f t="shared" si="5"/>
        <v>2.4335999999999993</v>
      </c>
      <c r="E7" s="4">
        <f t="shared" si="5"/>
        <v>2.9583999999999997</v>
      </c>
      <c r="F7" s="4"/>
    </row>
    <row r="9" spans="1:20" x14ac:dyDescent="0.3">
      <c r="A9" s="5" t="s">
        <v>5</v>
      </c>
      <c r="B9" t="s">
        <v>6</v>
      </c>
      <c r="C9" t="s">
        <v>7</v>
      </c>
      <c r="O9" s="11">
        <f>SQRT(((2*B13-2*B14)/578)^2)*C13</f>
        <v>0</v>
      </c>
    </row>
    <row r="10" spans="1:20" x14ac:dyDescent="0.3">
      <c r="B10">
        <f>(4*L4-L2*L3)/(4*L5-M2)</f>
        <v>0.57140888888888886</v>
      </c>
      <c r="C10">
        <f>(L3-B10*L2)/4</f>
        <v>0.69095555555555555</v>
      </c>
    </row>
    <row r="12" spans="1:20" x14ac:dyDescent="0.3">
      <c r="A12" t="s">
        <v>15</v>
      </c>
    </row>
    <row r="13" spans="1:20" x14ac:dyDescent="0.3">
      <c r="A13">
        <v>1.2</v>
      </c>
      <c r="B13" s="2">
        <f>(C7-B7)/(10^(-3)*578)</f>
        <v>0.99846212995001971</v>
      </c>
      <c r="C13" s="2"/>
    </row>
    <row r="14" spans="1:20" x14ac:dyDescent="0.3">
      <c r="A14">
        <v>4.0999999999999996</v>
      </c>
      <c r="B14">
        <f>(E7-B7)/(3*10^(-3)*578)</f>
        <v>0.982698961937716</v>
      </c>
    </row>
    <row r="16" spans="1:20" x14ac:dyDescent="0.3">
      <c r="A16" s="5" t="s">
        <v>24</v>
      </c>
    </row>
    <row r="17" spans="2:2" x14ac:dyDescent="0.3">
      <c r="B17" s="2">
        <f>AVERAGE(B13:B15)</f>
        <v>0.99058054594386791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7FF5-05BC-4B9D-A6C3-084DCB49FAAC}">
  <dimension ref="A1:T17"/>
  <sheetViews>
    <sheetView topLeftCell="J1" workbookViewId="0">
      <selection activeCell="R14" sqref="R14"/>
    </sheetView>
  </sheetViews>
  <sheetFormatPr defaultRowHeight="14.4" x14ac:dyDescent="0.3"/>
  <cols>
    <col min="16" max="16" width="9.44140625" bestFit="1" customWidth="1"/>
  </cols>
  <sheetData>
    <row r="1" spans="1:20" x14ac:dyDescent="0.3">
      <c r="B1" s="12" t="s">
        <v>4</v>
      </c>
      <c r="C1" s="12"/>
      <c r="D1" s="12"/>
      <c r="E1" s="12"/>
      <c r="G1" s="7"/>
      <c r="H1" s="7" t="s">
        <v>8</v>
      </c>
      <c r="I1" s="7"/>
      <c r="J1" s="7"/>
      <c r="K1" s="7"/>
      <c r="L1" s="7" t="s">
        <v>12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3">
      <c r="B2">
        <v>1</v>
      </c>
      <c r="C2">
        <v>2</v>
      </c>
      <c r="D2">
        <v>3</v>
      </c>
      <c r="E2">
        <v>4</v>
      </c>
      <c r="G2" s="7" t="s">
        <v>9</v>
      </c>
      <c r="H2">
        <v>1</v>
      </c>
      <c r="I2">
        <v>2</v>
      </c>
      <c r="J2">
        <v>3</v>
      </c>
      <c r="K2">
        <v>4</v>
      </c>
      <c r="L2" s="6">
        <f>SUM(H2:K2)</f>
        <v>10</v>
      </c>
      <c r="M2" s="6">
        <f>L2^2</f>
        <v>100</v>
      </c>
      <c r="O2" s="2">
        <f>($D$6-D3)^2</f>
        <v>4.44444444444465E-5</v>
      </c>
      <c r="P2" s="1">
        <f>SQRT(O5/6)</f>
        <v>3.3333333333333366E-3</v>
      </c>
      <c r="Q2" s="3">
        <f>P2*4.3</f>
        <v>1.4333333333333347E-2</v>
      </c>
      <c r="R2">
        <f>0.95*0.05</f>
        <v>4.7500000000000001E-2</v>
      </c>
      <c r="S2" s="3">
        <f>SQRT(Q2^2+R2^2)</f>
        <v>4.9615465778771489E-2</v>
      </c>
      <c r="T2">
        <f>S2/D6</f>
        <v>3.1074404454345395E-2</v>
      </c>
    </row>
    <row r="3" spans="1:20" x14ac:dyDescent="0.3">
      <c r="A3" t="s">
        <v>0</v>
      </c>
      <c r="B3">
        <v>1.1499999999999999</v>
      </c>
      <c r="C3">
        <v>1.41</v>
      </c>
      <c r="D3">
        <v>1.59</v>
      </c>
      <c r="E3">
        <v>1.78</v>
      </c>
      <c r="G3" s="7" t="s">
        <v>10</v>
      </c>
      <c r="H3" s="4">
        <f>B7</f>
        <v>1.3301777777777772</v>
      </c>
      <c r="I3" s="4">
        <f t="shared" ref="I3:K3" si="0">C7</f>
        <v>1.9787111111111106</v>
      </c>
      <c r="J3" s="4">
        <f t="shared" si="0"/>
        <v>2.5493444444444453</v>
      </c>
      <c r="K3" s="4">
        <f t="shared" si="0"/>
        <v>3.1684000000000001</v>
      </c>
      <c r="L3" s="8">
        <f>SUM(H3:K3)</f>
        <v>9.0266333333333328</v>
      </c>
      <c r="O3" s="2">
        <f t="shared" ref="O3:O4" si="1">($D$6-D4)^2</f>
        <v>1.1111111111110144E-5</v>
      </c>
    </row>
    <row r="4" spans="1:20" x14ac:dyDescent="0.3">
      <c r="A4" t="s">
        <v>1</v>
      </c>
      <c r="B4">
        <v>1.1599999999999999</v>
      </c>
      <c r="C4">
        <v>1.41</v>
      </c>
      <c r="D4">
        <v>1.6</v>
      </c>
      <c r="E4">
        <v>1.77</v>
      </c>
      <c r="G4" s="7" t="s">
        <v>11</v>
      </c>
      <c r="H4">
        <f>H2*H3</f>
        <v>1.3301777777777772</v>
      </c>
      <c r="I4">
        <f t="shared" ref="I4:K4" si="2">I2*I3</f>
        <v>3.9574222222222213</v>
      </c>
      <c r="J4">
        <f t="shared" si="2"/>
        <v>7.6480333333333359</v>
      </c>
      <c r="K4">
        <f t="shared" si="2"/>
        <v>12.6736</v>
      </c>
      <c r="L4" s="6">
        <f>SUM(H4:K4)</f>
        <v>25.609233333333336</v>
      </c>
      <c r="O4" s="2">
        <f t="shared" si="1"/>
        <v>1.1111111111110144E-5</v>
      </c>
    </row>
    <row r="5" spans="1:20" x14ac:dyDescent="0.3">
      <c r="A5" t="s">
        <v>2</v>
      </c>
      <c r="B5">
        <v>1.1499999999999999</v>
      </c>
      <c r="C5">
        <v>1.4</v>
      </c>
      <c r="D5">
        <v>1.6</v>
      </c>
      <c r="E5">
        <v>1.79</v>
      </c>
      <c r="G5" s="7" t="s">
        <v>14</v>
      </c>
      <c r="H5">
        <f>H2^2</f>
        <v>1</v>
      </c>
      <c r="I5">
        <f t="shared" ref="I5:K5" si="3">I2^2</f>
        <v>4</v>
      </c>
      <c r="J5">
        <f t="shared" si="3"/>
        <v>9</v>
      </c>
      <c r="K5">
        <f t="shared" si="3"/>
        <v>16</v>
      </c>
      <c r="L5" s="6">
        <f>SUM(H5:K5)</f>
        <v>30</v>
      </c>
      <c r="O5" s="2">
        <f>SUM(O2:O4)</f>
        <v>6.6666666666666792E-5</v>
      </c>
    </row>
    <row r="6" spans="1:20" x14ac:dyDescent="0.3">
      <c r="A6" t="s">
        <v>3</v>
      </c>
      <c r="B6">
        <f>AVERAGE(B3:B5)</f>
        <v>1.1533333333333331</v>
      </c>
      <c r="C6">
        <f t="shared" ref="C6:E6" si="4">AVERAGE(C3:C5)</f>
        <v>1.4066666666666665</v>
      </c>
      <c r="D6">
        <f t="shared" si="4"/>
        <v>1.5966666666666669</v>
      </c>
      <c r="E6">
        <f t="shared" si="4"/>
        <v>1.78</v>
      </c>
      <c r="F6" s="4"/>
    </row>
    <row r="7" spans="1:20" x14ac:dyDescent="0.3">
      <c r="B7" s="4">
        <f>B6^2</f>
        <v>1.3301777777777772</v>
      </c>
      <c r="C7" s="4">
        <f t="shared" ref="C7:E7" si="5">C6^2</f>
        <v>1.9787111111111106</v>
      </c>
      <c r="D7" s="4">
        <f t="shared" si="5"/>
        <v>2.5493444444444453</v>
      </c>
      <c r="E7" s="4">
        <f t="shared" si="5"/>
        <v>3.1684000000000001</v>
      </c>
    </row>
    <row r="9" spans="1:20" x14ac:dyDescent="0.3">
      <c r="A9" s="5" t="s">
        <v>5</v>
      </c>
      <c r="B9" t="s">
        <v>6</v>
      </c>
      <c r="C9" t="s">
        <v>7</v>
      </c>
      <c r="N9">
        <f>SQRT(((2*A13-2*A14)/630)^2)*B13</f>
        <v>9.4771814898799017E-3</v>
      </c>
    </row>
    <row r="10" spans="1:20" x14ac:dyDescent="0.3">
      <c r="B10">
        <f>(4*L4-L2*L3)/(4*L5-M2)</f>
        <v>0.60853000000000035</v>
      </c>
      <c r="C10">
        <f>(L3-B10*L2)/4</f>
        <v>0.73533333333333228</v>
      </c>
    </row>
    <row r="12" spans="1:20" x14ac:dyDescent="0.3">
      <c r="A12" t="s">
        <v>15</v>
      </c>
    </row>
    <row r="13" spans="1:20" x14ac:dyDescent="0.3">
      <c r="A13">
        <v>1.2</v>
      </c>
      <c r="B13" s="2">
        <f>(C7-B7)/(10^(-3)*630)</f>
        <v>1.0294179894179896</v>
      </c>
      <c r="C13" s="2"/>
    </row>
    <row r="14" spans="1:20" x14ac:dyDescent="0.3">
      <c r="A14">
        <v>4.0999999999999996</v>
      </c>
      <c r="B14">
        <f>(E7-B7)/(3*10^(-3)*630)</f>
        <v>0.97260435038212845</v>
      </c>
    </row>
    <row r="16" spans="1:20" x14ac:dyDescent="0.3">
      <c r="A16" s="5" t="s">
        <v>24</v>
      </c>
      <c r="B16" s="5"/>
      <c r="C16" s="5"/>
    </row>
    <row r="17" spans="2:2" x14ac:dyDescent="0.3">
      <c r="B17" s="2">
        <f>AVERAGE(B13:B15)</f>
        <v>1.001011169900059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фильтр 435 нм</vt:lpstr>
      <vt:lpstr>фильтр 546 нм</vt:lpstr>
      <vt:lpstr>фильтр 578 нм</vt:lpstr>
      <vt:lpstr>фильтр 630 нм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 kim</dc:creator>
  <cp:lastModifiedBy>honey hkh</cp:lastModifiedBy>
  <dcterms:created xsi:type="dcterms:W3CDTF">2025-03-18T19:24:50Z</dcterms:created>
  <dcterms:modified xsi:type="dcterms:W3CDTF">2025-10-02T19:49:02Z</dcterms:modified>
</cp:coreProperties>
</file>