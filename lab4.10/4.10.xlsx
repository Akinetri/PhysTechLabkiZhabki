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2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<sst xmlns="http://schemas.openxmlformats.org/spreadsheetml/2006/main" count="42" uniqueCount="27">
  <si>
    <t xml:space="preserve">Iп</t>
  </si>
  <si>
    <t xml:space="preserve">P</t>
  </si>
  <si>
    <t xml:space="preserve">Kp</t>
  </si>
  <si>
    <t xml:space="preserve">Ks</t>
  </si>
  <si>
    <t xml:space="preserve">Imin</t>
  </si>
  <si>
    <t xml:space="preserve">Imax</t>
  </si>
  <si>
    <t xml:space="preserve">P (пол + анал)</t>
  </si>
  <si>
    <t xml:space="preserve">лазер</t>
  </si>
  <si>
    <t xml:space="preserve">f анал</t>
  </si>
  <si>
    <t xml:space="preserve">I</t>
  </si>
  <si>
    <t xml:space="preserve">свет </t>
  </si>
  <si>
    <t xml:space="preserve">a</t>
  </si>
  <si>
    <t xml:space="preserve">I1</t>
  </si>
  <si>
    <t xml:space="preserve">I2</t>
  </si>
  <si>
    <t xml:space="preserve">I ср</t>
  </si>
  <si>
    <t xml:space="preserve">Iотн 2</t>
  </si>
  <si>
    <t xml:space="preserve">cos(f-fm)^2</t>
  </si>
  <si>
    <t xml:space="preserve">I'1</t>
  </si>
  <si>
    <t xml:space="preserve">I'2</t>
  </si>
  <si>
    <t xml:space="preserve">I отн</t>
  </si>
  <si>
    <t xml:space="preserve">белый свет</t>
  </si>
  <si>
    <t xml:space="preserve">P свет  с пластиной</t>
  </si>
  <si>
    <t xml:space="preserve">f бр</t>
  </si>
  <si>
    <t xml:space="preserve">n</t>
  </si>
  <si>
    <t xml:space="preserve">Pлазер от n </t>
  </si>
  <si>
    <t xml:space="preserve">f</t>
  </si>
  <si>
    <t xml:space="preserve">P лазер с пластиной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</si>
</sst>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0"/>
    <numFmt numFmtId="166" formatCode="0.00"/>
  </numFmts>
  <fonts count="6">
    <font>
      <sz val="11"/>
      <color theme="1"/>
      <name val="Aptos Narrow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4"/>
      <color rgb="FF595959"/>
      <name val="Aptos Narrow"/>
      <family val="2"/>
    </font>
    <font>
      <sz val="9"/>
      <color rgb="FF595959"/>
      <name val="Aptos Narrow"/>
      <family val="2"/>
    </font>
  </fonts>
  <fills count="2">
    <fill>
      <patternFill patternType="none"/>
    </fill>
    <fill>
      <patternFill patternType="gray125"/>
    </fill>
  </fills>
  <borders count="5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 style="thin"/>
      <right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56082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97132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2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0" lang="ru-RU" sz="1400" strike="noStrike" u="none">
                <a:solidFill>
                  <a:srgbClr val="595959"/>
                </a:solidFill>
                <a:uFillTx/>
                <a:latin typeface="Aptos Narrow"/>
              </a:rPr>
              <a:t>Лазер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radarChart>
        <c:radarStyle val="marker"/>
        <c:varyColors val="0"/>
        <c:ser>
          <c:idx val="0"/>
          <c:order val="0"/>
          <c:tx>
            <c:strRef>
              <c:f>"I лазер отн"</c:f>
              <c:strCache>
                <c:ptCount val="1"/>
                <c:pt idx="0">
                  <c:v>I лазер отн</c:v>
                </c:pt>
              </c:strCache>
            </c:strRef>
          </c:tx>
          <c:spPr>
            <a:solidFill>
              <a:srgbClr val="156082"/>
            </a:solidFill>
            <a:ln cap="rnd" w="19080">
              <a:solidFill>
                <a:srgbClr val="156082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Aptos Narrow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cap="rnd" w="1908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Лист1!$A$7:$A$37</c:f>
              <c:strCache>
                <c:ptCount val="31"/>
                <c:pt idx="0">
                  <c:v>150</c:v>
                </c:pt>
                <c:pt idx="1">
                  <c:v>140</c:v>
                </c:pt>
                <c:pt idx="2">
                  <c:v>130</c:v>
                </c:pt>
                <c:pt idx="3">
                  <c:v>120</c:v>
                </c:pt>
                <c:pt idx="4">
                  <c:v>110</c:v>
                </c:pt>
                <c:pt idx="5">
                  <c:v>100</c:v>
                </c:pt>
                <c:pt idx="6">
                  <c:v>90</c:v>
                </c:pt>
                <c:pt idx="7">
                  <c:v>80</c:v>
                </c:pt>
                <c:pt idx="8">
                  <c:v>70</c:v>
                </c:pt>
                <c:pt idx="9">
                  <c:v>60</c:v>
                </c:pt>
                <c:pt idx="10">
                  <c:v>50</c:v>
                </c:pt>
                <c:pt idx="11">
                  <c:v>40</c:v>
                </c:pt>
                <c:pt idx="12">
                  <c:v>30</c:v>
                </c:pt>
                <c:pt idx="13">
                  <c:v>20</c:v>
                </c:pt>
                <c:pt idx="14">
                  <c:v>10</c:v>
                </c:pt>
                <c:pt idx="15">
                  <c:v>0</c:v>
                </c:pt>
                <c:pt idx="16">
                  <c:v>10</c:v>
                </c:pt>
                <c:pt idx="17">
                  <c:v>20</c:v>
                </c:pt>
                <c:pt idx="18">
                  <c:v>30</c:v>
                </c:pt>
                <c:pt idx="19">
                  <c:v>40</c:v>
                </c:pt>
                <c:pt idx="20">
                  <c:v>50</c:v>
                </c:pt>
                <c:pt idx="21">
                  <c:v>60</c:v>
                </c:pt>
                <c:pt idx="22">
                  <c:v>70</c:v>
                </c:pt>
                <c:pt idx="23">
                  <c:v>80</c:v>
                </c:pt>
                <c:pt idx="24">
                  <c:v>90</c:v>
                </c:pt>
                <c:pt idx="25">
                  <c:v>100</c:v>
                </c:pt>
                <c:pt idx="26">
                  <c:v>110</c:v>
                </c:pt>
                <c:pt idx="27">
                  <c:v>120</c:v>
                </c:pt>
                <c:pt idx="28">
                  <c:v>130</c:v>
                </c:pt>
                <c:pt idx="29">
                  <c:v>140</c:v>
                </c:pt>
                <c:pt idx="30">
                  <c:v>150</c:v>
                </c:pt>
              </c:strCache>
            </c:strRef>
          </c:cat>
          <c:val>
            <c:numRef>
              <c:f>Лист1!$E$7:$E$37</c:f>
              <c:numCache>
                <c:formatCode>General</c:formatCode>
                <c:ptCount val="31"/>
                <c:pt idx="0">
                  <c:v>0.680506329113924</c:v>
                </c:pt>
                <c:pt idx="1">
                  <c:v>0.512405063291139</c:v>
                </c:pt>
                <c:pt idx="2">
                  <c:v>0.330126582278481</c:v>
                </c:pt>
                <c:pt idx="3">
                  <c:v>0.158481012658228</c:v>
                </c:pt>
                <c:pt idx="4">
                  <c:v>0.0815189873417722</c:v>
                </c:pt>
                <c:pt idx="5">
                  <c:v>0.0156962025316456</c:v>
                </c:pt>
                <c:pt idx="6">
                  <c:v>0.010126582278481</c:v>
                </c:pt>
                <c:pt idx="7">
                  <c:v>0.0531645569620253</c:v>
                </c:pt>
                <c:pt idx="8">
                  <c:v>0.140253164556962</c:v>
                </c:pt>
                <c:pt idx="9">
                  <c:v>0.278987341772152</c:v>
                </c:pt>
                <c:pt idx="10">
                  <c:v>0.451645569620253</c:v>
                </c:pt>
                <c:pt idx="11">
                  <c:v>0.617721518987342</c:v>
                </c:pt>
                <c:pt idx="12">
                  <c:v>0.785822784810127</c:v>
                </c:pt>
                <c:pt idx="13">
                  <c:v>0.947848101265823</c:v>
                </c:pt>
                <c:pt idx="14">
                  <c:v>1</c:v>
                </c:pt>
                <c:pt idx="15">
                  <c:v>0.995443037974684</c:v>
                </c:pt>
                <c:pt idx="16">
                  <c:v>0.902784810126582</c:v>
                </c:pt>
                <c:pt idx="17">
                  <c:v>0.793417721518987</c:v>
                </c:pt>
                <c:pt idx="18">
                  <c:v>0.64253164556962</c:v>
                </c:pt>
                <c:pt idx="19">
                  <c:v>0.446582278481013</c:v>
                </c:pt>
                <c:pt idx="20">
                  <c:v>0.326582278481013</c:v>
                </c:pt>
                <c:pt idx="21">
                  <c:v>0.188860759493671</c:v>
                </c:pt>
                <c:pt idx="22">
                  <c:v>0.0749367088607595</c:v>
                </c:pt>
                <c:pt idx="23">
                  <c:v>0.0116455696202532</c:v>
                </c:pt>
                <c:pt idx="24">
                  <c:v>0.00860759493670886</c:v>
                </c:pt>
                <c:pt idx="25">
                  <c:v>0.0465822784810127</c:v>
                </c:pt>
                <c:pt idx="26">
                  <c:v>0.152405063291139</c:v>
                </c:pt>
                <c:pt idx="27">
                  <c:v>0.32</c:v>
                </c:pt>
                <c:pt idx="28">
                  <c:v>0.488101265822785</c:v>
                </c:pt>
                <c:pt idx="29">
                  <c:v>0.70379746835443</c:v>
                </c:pt>
                <c:pt idx="30">
                  <c:v>0.806841046277666</c:v>
                </c:pt>
              </c:numCache>
            </c:numRef>
          </c:val>
        </c:ser>
        <c:ser>
          <c:idx val="1"/>
          <c:order val="1"/>
          <c:tx>
            <c:strRef>
              <c:f>"I cos^2 лазер"</c:f>
              <c:strCache>
                <c:ptCount val="1"/>
                <c:pt idx="0">
                  <c:v>I cos^2 лазер</c:v>
                </c:pt>
              </c:strCache>
            </c:strRef>
          </c:tx>
          <c:spPr>
            <a:solidFill>
              <a:srgbClr val="e97132"/>
            </a:solidFill>
            <a:ln cap="rnd" w="19080">
              <a:solidFill>
                <a:srgbClr val="e97132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Aptos Narrow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cap="rnd" w="1908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Лист1!$A$7:$A$37</c:f>
              <c:strCache>
                <c:ptCount val="31"/>
                <c:pt idx="0">
                  <c:v>150</c:v>
                </c:pt>
                <c:pt idx="1">
                  <c:v>140</c:v>
                </c:pt>
                <c:pt idx="2">
                  <c:v>130</c:v>
                </c:pt>
                <c:pt idx="3">
                  <c:v>120</c:v>
                </c:pt>
                <c:pt idx="4">
                  <c:v>110</c:v>
                </c:pt>
                <c:pt idx="5">
                  <c:v>100</c:v>
                </c:pt>
                <c:pt idx="6">
                  <c:v>90</c:v>
                </c:pt>
                <c:pt idx="7">
                  <c:v>80</c:v>
                </c:pt>
                <c:pt idx="8">
                  <c:v>70</c:v>
                </c:pt>
                <c:pt idx="9">
                  <c:v>60</c:v>
                </c:pt>
                <c:pt idx="10">
                  <c:v>50</c:v>
                </c:pt>
                <c:pt idx="11">
                  <c:v>40</c:v>
                </c:pt>
                <c:pt idx="12">
                  <c:v>30</c:v>
                </c:pt>
                <c:pt idx="13">
                  <c:v>20</c:v>
                </c:pt>
                <c:pt idx="14">
                  <c:v>10</c:v>
                </c:pt>
                <c:pt idx="15">
                  <c:v>0</c:v>
                </c:pt>
                <c:pt idx="16">
                  <c:v>10</c:v>
                </c:pt>
                <c:pt idx="17">
                  <c:v>20</c:v>
                </c:pt>
                <c:pt idx="18">
                  <c:v>30</c:v>
                </c:pt>
                <c:pt idx="19">
                  <c:v>40</c:v>
                </c:pt>
                <c:pt idx="20">
                  <c:v>50</c:v>
                </c:pt>
                <c:pt idx="21">
                  <c:v>60</c:v>
                </c:pt>
                <c:pt idx="22">
                  <c:v>70</c:v>
                </c:pt>
                <c:pt idx="23">
                  <c:v>80</c:v>
                </c:pt>
                <c:pt idx="24">
                  <c:v>90</c:v>
                </c:pt>
                <c:pt idx="25">
                  <c:v>100</c:v>
                </c:pt>
                <c:pt idx="26">
                  <c:v>110</c:v>
                </c:pt>
                <c:pt idx="27">
                  <c:v>120</c:v>
                </c:pt>
                <c:pt idx="28">
                  <c:v>130</c:v>
                </c:pt>
                <c:pt idx="29">
                  <c:v>140</c:v>
                </c:pt>
                <c:pt idx="30">
                  <c:v>150</c:v>
                </c:pt>
              </c:strCache>
            </c:strRef>
          </c:cat>
          <c:val>
            <c:numRef>
              <c:f>Лист1!$F$7:$F$37</c:f>
              <c:numCache>
                <c:formatCode>General</c:formatCode>
                <c:ptCount val="31"/>
                <c:pt idx="0">
                  <c:v>0.585603912157421</c:v>
                </c:pt>
                <c:pt idx="1">
                  <c:v>0.412043366979531</c:v>
                </c:pt>
                <c:pt idx="2">
                  <c:v>0.249081045388845</c:v>
                </c:pt>
                <c:pt idx="3">
                  <c:v>0.116352886838686</c:v>
                </c:pt>
                <c:pt idx="4">
                  <c:v>0.0298518034304658</c:v>
                </c:pt>
                <c:pt idx="5">
                  <c:v>6.34136230227258E-007</c:v>
                </c:pt>
                <c:pt idx="6">
                  <c:v>0.0303962579593651</c:v>
                </c:pt>
                <c:pt idx="7">
                  <c:v>0.117376192534553</c:v>
                </c:pt>
                <c:pt idx="8">
                  <c:v>0.25045990032219</c:v>
                </c:pt>
                <c:pt idx="9">
                  <c:v>0.413611627763822</c:v>
                </c:pt>
                <c:pt idx="10">
                  <c:v>0.587172613186948</c:v>
                </c:pt>
                <c:pt idx="11">
                  <c:v>0.750229844504103</c:v>
                </c:pt>
                <c:pt idx="12">
                  <c:v>0.883135946234149</c:v>
                </c:pt>
                <c:pt idx="13">
                  <c:v>0.969876565236592</c:v>
                </c:pt>
                <c:pt idx="14">
                  <c:v>1</c:v>
                </c:pt>
                <c:pt idx="15">
                  <c:v>0.969876565236592</c:v>
                </c:pt>
                <c:pt idx="16">
                  <c:v>1</c:v>
                </c:pt>
                <c:pt idx="17">
                  <c:v>0.969876565236592</c:v>
                </c:pt>
                <c:pt idx="18">
                  <c:v>0.883135946234149</c:v>
                </c:pt>
                <c:pt idx="19">
                  <c:v>0.750229844504103</c:v>
                </c:pt>
                <c:pt idx="20">
                  <c:v>0.587172613186948</c:v>
                </c:pt>
                <c:pt idx="21">
                  <c:v>0.413611627763822</c:v>
                </c:pt>
                <c:pt idx="22">
                  <c:v>0.25045990032219</c:v>
                </c:pt>
                <c:pt idx="23">
                  <c:v>0.117376192534553</c:v>
                </c:pt>
                <c:pt idx="24">
                  <c:v>0.0303962579593651</c:v>
                </c:pt>
                <c:pt idx="25">
                  <c:v>6.34136230227258E-007</c:v>
                </c:pt>
                <c:pt idx="26">
                  <c:v>0.0298518034304658</c:v>
                </c:pt>
                <c:pt idx="27">
                  <c:v>0.116352886838686</c:v>
                </c:pt>
                <c:pt idx="28">
                  <c:v>0.249081045388845</c:v>
                </c:pt>
                <c:pt idx="29">
                  <c:v>0.412043366979531</c:v>
                </c:pt>
                <c:pt idx="30">
                  <c:v>0.585603912157421</c:v>
                </c:pt>
              </c:numCache>
            </c:numRef>
          </c:val>
        </c:ser>
        <c:axId val="77866767"/>
        <c:axId val="33491879"/>
      </c:radarChart>
      <c:catAx>
        <c:axId val="77866767"/>
        <c:scaling>
          <c:orientation val="maxMin"/>
        </c:scaling>
        <c:delete val="0"/>
        <c:axPos val="b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900" strike="noStrike" u="none">
                <a:solidFill>
                  <a:srgbClr val="595959"/>
                </a:solidFill>
                <a:uFillTx/>
                <a:latin typeface="Aptos Narrow"/>
              </a:defRPr>
            </a:pPr>
          </a:p>
        </c:txPr>
        <c:crossAx val="33491879"/>
        <c:crosses val="autoZero"/>
        <c:auto val="1"/>
        <c:lblAlgn val="ctr"/>
        <c:lblOffset val="100"/>
        <c:noMultiLvlLbl val="0"/>
      </c:catAx>
      <c:valAx>
        <c:axId val="33491879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900" strike="noStrike" u="none">
                <a:solidFill>
                  <a:srgbClr val="595959"/>
                </a:solidFill>
                <a:uFillTx/>
                <a:latin typeface="Aptos Narrow"/>
              </a:defRPr>
            </a:pPr>
          </a:p>
        </c:txPr>
        <c:crossAx val="77866767"/>
        <c:crosses val="autoZero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900" strike="noStrike" u="none">
              <a:solidFill>
                <a:srgbClr val="595959"/>
              </a:solidFill>
              <a:uFillTx/>
              <a:latin typeface="Aptos Narrow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2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0" lang="ru-RU" sz="1400" strike="noStrike" u="none">
                <a:solidFill>
                  <a:srgbClr val="595959"/>
                </a:solidFill>
                <a:uFillTx/>
                <a:latin typeface="Aptos Narrow"/>
              </a:rPr>
              <a:t>Белый</a:t>
            </a:r>
            <a:r>
              <a:rPr b="0" lang="ru-RU" sz="1400" strike="noStrike" u="none">
                <a:solidFill>
                  <a:srgbClr val="595959"/>
                </a:solidFill>
                <a:uFillTx/>
                <a:latin typeface="Aptos Narrow"/>
              </a:rPr>
              <a:t> свет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radarChart>
        <c:radarStyle val="marker"/>
        <c:varyColors val="0"/>
        <c:ser>
          <c:idx val="0"/>
          <c:order val="0"/>
          <c:tx>
            <c:strRef>
              <c:f>"белый свет"</c:f>
              <c:strCache>
                <c:ptCount val="1"/>
                <c:pt idx="0">
                  <c:v>белый свет</c:v>
                </c:pt>
              </c:strCache>
            </c:strRef>
          </c:tx>
          <c:spPr>
            <a:solidFill>
              <a:srgbClr val="156082"/>
            </a:solidFill>
            <a:ln cap="rnd" w="19080">
              <a:solidFill>
                <a:srgbClr val="156082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Aptos Narrow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cap="rnd" w="1908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Лист1!$I$7:$I$37</c:f>
              <c:strCache>
                <c:ptCount val="31"/>
                <c:pt idx="0">
                  <c:v>150</c:v>
                </c:pt>
                <c:pt idx="1">
                  <c:v>140</c:v>
                </c:pt>
                <c:pt idx="2">
                  <c:v>130</c:v>
                </c:pt>
                <c:pt idx="3">
                  <c:v>120</c:v>
                </c:pt>
                <c:pt idx="4">
                  <c:v>110</c:v>
                </c:pt>
                <c:pt idx="5">
                  <c:v>100</c:v>
                </c:pt>
                <c:pt idx="6">
                  <c:v>90</c:v>
                </c:pt>
                <c:pt idx="7">
                  <c:v>80</c:v>
                </c:pt>
                <c:pt idx="8">
                  <c:v>70</c:v>
                </c:pt>
                <c:pt idx="9">
                  <c:v>60</c:v>
                </c:pt>
                <c:pt idx="10">
                  <c:v>50</c:v>
                </c:pt>
                <c:pt idx="11">
                  <c:v>40</c:v>
                </c:pt>
                <c:pt idx="12">
                  <c:v>30</c:v>
                </c:pt>
                <c:pt idx="13">
                  <c:v>20</c:v>
                </c:pt>
                <c:pt idx="14">
                  <c:v>10</c:v>
                </c:pt>
                <c:pt idx="15">
                  <c:v>0</c:v>
                </c:pt>
                <c:pt idx="16">
                  <c:v>10</c:v>
                </c:pt>
                <c:pt idx="17">
                  <c:v>20</c:v>
                </c:pt>
                <c:pt idx="18">
                  <c:v>30</c:v>
                </c:pt>
                <c:pt idx="19">
                  <c:v>40</c:v>
                </c:pt>
                <c:pt idx="20">
                  <c:v>50</c:v>
                </c:pt>
                <c:pt idx="21">
                  <c:v>60</c:v>
                </c:pt>
                <c:pt idx="22">
                  <c:v>70</c:v>
                </c:pt>
                <c:pt idx="23">
                  <c:v>80</c:v>
                </c:pt>
                <c:pt idx="24">
                  <c:v>90</c:v>
                </c:pt>
                <c:pt idx="25">
                  <c:v>100</c:v>
                </c:pt>
                <c:pt idx="26">
                  <c:v>110</c:v>
                </c:pt>
                <c:pt idx="27">
                  <c:v>120</c:v>
                </c:pt>
                <c:pt idx="28">
                  <c:v>130</c:v>
                </c:pt>
                <c:pt idx="29">
                  <c:v>140</c:v>
                </c:pt>
                <c:pt idx="30">
                  <c:v>150</c:v>
                </c:pt>
              </c:strCache>
            </c:strRef>
          </c:cat>
          <c:val>
            <c:numRef>
              <c:f>Лист1!$M$7:$M$37</c:f>
              <c:numCache>
                <c:formatCode>General</c:formatCode>
                <c:ptCount val="31"/>
                <c:pt idx="0">
                  <c:v>0.96969696969697</c:v>
                </c:pt>
                <c:pt idx="1">
                  <c:v>0.94949494949495</c:v>
                </c:pt>
                <c:pt idx="2">
                  <c:v>0.823232323232323</c:v>
                </c:pt>
                <c:pt idx="3">
                  <c:v>0.409090909090909</c:v>
                </c:pt>
                <c:pt idx="4">
                  <c:v>0.348484848484849</c:v>
                </c:pt>
                <c:pt idx="5">
                  <c:v>0.328282828282828</c:v>
                </c:pt>
                <c:pt idx="6">
                  <c:v>0.348484848484849</c:v>
                </c:pt>
                <c:pt idx="7">
                  <c:v>0.348484848484849</c:v>
                </c:pt>
                <c:pt idx="8">
                  <c:v>0.439393939393939</c:v>
                </c:pt>
                <c:pt idx="9">
                  <c:v>0.525252525252525</c:v>
                </c:pt>
                <c:pt idx="10">
                  <c:v>0.631313131313131</c:v>
                </c:pt>
                <c:pt idx="11">
                  <c:v>0.742424242424242</c:v>
                </c:pt>
                <c:pt idx="12">
                  <c:v>0.843434343434343</c:v>
                </c:pt>
                <c:pt idx="13">
                  <c:v>0.984848484848485</c:v>
                </c:pt>
                <c:pt idx="14">
                  <c:v>1</c:v>
                </c:pt>
                <c:pt idx="15">
                  <c:v>0.934343434343434</c:v>
                </c:pt>
                <c:pt idx="16">
                  <c:v>0.878787878787879</c:v>
                </c:pt>
                <c:pt idx="17">
                  <c:v>0.828282828282828</c:v>
                </c:pt>
                <c:pt idx="18">
                  <c:v>0.752525252525253</c:v>
                </c:pt>
                <c:pt idx="19">
                  <c:v>0.626262626262626</c:v>
                </c:pt>
                <c:pt idx="20">
                  <c:v>0.505050505050505</c:v>
                </c:pt>
                <c:pt idx="21">
                  <c:v>0.439393939393939</c:v>
                </c:pt>
                <c:pt idx="22">
                  <c:v>0.378787878787879</c:v>
                </c:pt>
                <c:pt idx="23">
                  <c:v>0.303030303030303</c:v>
                </c:pt>
                <c:pt idx="24">
                  <c:v>0.297979797979798</c:v>
                </c:pt>
                <c:pt idx="25">
                  <c:v>0.318181818181818</c:v>
                </c:pt>
                <c:pt idx="26">
                  <c:v>0.378787878787879</c:v>
                </c:pt>
                <c:pt idx="27">
                  <c:v>0.47979797979798</c:v>
                </c:pt>
                <c:pt idx="28">
                  <c:v>0.651515151515152</c:v>
                </c:pt>
                <c:pt idx="29">
                  <c:v>0.803030303030303</c:v>
                </c:pt>
                <c:pt idx="30">
                  <c:v>0.929292929292929</c:v>
                </c:pt>
              </c:numCache>
            </c:numRef>
          </c:val>
        </c:ser>
        <c:ser>
          <c:idx val="1"/>
          <c:order val="1"/>
          <c:tx>
            <c:strRef>
              <c:f>"cos^2"</c:f>
              <c:strCache>
                <c:ptCount val="1"/>
                <c:pt idx="0">
                  <c:v>cos^2</c:v>
                </c:pt>
              </c:strCache>
            </c:strRef>
          </c:tx>
          <c:spPr>
            <a:solidFill>
              <a:srgbClr val="e97132"/>
            </a:solidFill>
            <a:ln cap="rnd" w="19080">
              <a:solidFill>
                <a:srgbClr val="e97132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Aptos Narrow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cap="rnd" w="1908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Лист1!$I$7:$I$37</c:f>
              <c:strCache>
                <c:ptCount val="31"/>
                <c:pt idx="0">
                  <c:v>150</c:v>
                </c:pt>
                <c:pt idx="1">
                  <c:v>140</c:v>
                </c:pt>
                <c:pt idx="2">
                  <c:v>130</c:v>
                </c:pt>
                <c:pt idx="3">
                  <c:v>120</c:v>
                </c:pt>
                <c:pt idx="4">
                  <c:v>110</c:v>
                </c:pt>
                <c:pt idx="5">
                  <c:v>100</c:v>
                </c:pt>
                <c:pt idx="6">
                  <c:v>90</c:v>
                </c:pt>
                <c:pt idx="7">
                  <c:v>80</c:v>
                </c:pt>
                <c:pt idx="8">
                  <c:v>70</c:v>
                </c:pt>
                <c:pt idx="9">
                  <c:v>60</c:v>
                </c:pt>
                <c:pt idx="10">
                  <c:v>50</c:v>
                </c:pt>
                <c:pt idx="11">
                  <c:v>40</c:v>
                </c:pt>
                <c:pt idx="12">
                  <c:v>30</c:v>
                </c:pt>
                <c:pt idx="13">
                  <c:v>20</c:v>
                </c:pt>
                <c:pt idx="14">
                  <c:v>10</c:v>
                </c:pt>
                <c:pt idx="15">
                  <c:v>0</c:v>
                </c:pt>
                <c:pt idx="16">
                  <c:v>10</c:v>
                </c:pt>
                <c:pt idx="17">
                  <c:v>20</c:v>
                </c:pt>
                <c:pt idx="18">
                  <c:v>30</c:v>
                </c:pt>
                <c:pt idx="19">
                  <c:v>40</c:v>
                </c:pt>
                <c:pt idx="20">
                  <c:v>50</c:v>
                </c:pt>
                <c:pt idx="21">
                  <c:v>60</c:v>
                </c:pt>
                <c:pt idx="22">
                  <c:v>70</c:v>
                </c:pt>
                <c:pt idx="23">
                  <c:v>80</c:v>
                </c:pt>
                <c:pt idx="24">
                  <c:v>90</c:v>
                </c:pt>
                <c:pt idx="25">
                  <c:v>100</c:v>
                </c:pt>
                <c:pt idx="26">
                  <c:v>110</c:v>
                </c:pt>
                <c:pt idx="27">
                  <c:v>120</c:v>
                </c:pt>
                <c:pt idx="28">
                  <c:v>130</c:v>
                </c:pt>
                <c:pt idx="29">
                  <c:v>140</c:v>
                </c:pt>
                <c:pt idx="30">
                  <c:v>150</c:v>
                </c:pt>
              </c:strCache>
            </c:strRef>
          </c:cat>
          <c:val>
            <c:numRef>
              <c:f>Лист1!$N$7:$N$37</c:f>
              <c:numCache>
                <c:formatCode>General</c:formatCode>
                <c:ptCount val="31"/>
                <c:pt idx="0">
                  <c:v>0.585603912157421</c:v>
                </c:pt>
                <c:pt idx="1">
                  <c:v>0.412043366979531</c:v>
                </c:pt>
                <c:pt idx="2">
                  <c:v>0.249081045388845</c:v>
                </c:pt>
                <c:pt idx="3">
                  <c:v>0.116352886838686</c:v>
                </c:pt>
                <c:pt idx="4">
                  <c:v>0.0298518034304658</c:v>
                </c:pt>
                <c:pt idx="5">
                  <c:v>6.34136230227258E-007</c:v>
                </c:pt>
                <c:pt idx="6">
                  <c:v>0.0303962579593651</c:v>
                </c:pt>
                <c:pt idx="7">
                  <c:v>0.117376192534553</c:v>
                </c:pt>
                <c:pt idx="8">
                  <c:v>0.25045990032219</c:v>
                </c:pt>
                <c:pt idx="9">
                  <c:v>0.413611627763822</c:v>
                </c:pt>
                <c:pt idx="10">
                  <c:v>0.587172613186948</c:v>
                </c:pt>
                <c:pt idx="11">
                  <c:v>0.750229844504103</c:v>
                </c:pt>
                <c:pt idx="12">
                  <c:v>0.883135946234149</c:v>
                </c:pt>
                <c:pt idx="13">
                  <c:v>0.969876565236592</c:v>
                </c:pt>
                <c:pt idx="14">
                  <c:v>1</c:v>
                </c:pt>
                <c:pt idx="15">
                  <c:v>0.969876565236592</c:v>
                </c:pt>
                <c:pt idx="16">
                  <c:v>1</c:v>
                </c:pt>
                <c:pt idx="17">
                  <c:v>0.969876565236592</c:v>
                </c:pt>
                <c:pt idx="18">
                  <c:v>0.883135946234149</c:v>
                </c:pt>
                <c:pt idx="19">
                  <c:v>0.750229844504103</c:v>
                </c:pt>
                <c:pt idx="20">
                  <c:v>0.587172613186948</c:v>
                </c:pt>
                <c:pt idx="21">
                  <c:v>0.413611627763822</c:v>
                </c:pt>
                <c:pt idx="22">
                  <c:v>0.25045990032219</c:v>
                </c:pt>
                <c:pt idx="23">
                  <c:v>0.117376192534553</c:v>
                </c:pt>
                <c:pt idx="24">
                  <c:v>0.0303962579593651</c:v>
                </c:pt>
                <c:pt idx="25">
                  <c:v>6.34136230227258E-007</c:v>
                </c:pt>
                <c:pt idx="26">
                  <c:v>0.0298518034304658</c:v>
                </c:pt>
                <c:pt idx="27">
                  <c:v>0.116352886838686</c:v>
                </c:pt>
                <c:pt idx="28">
                  <c:v>0.249081045388845</c:v>
                </c:pt>
                <c:pt idx="29">
                  <c:v>0.412043366979531</c:v>
                </c:pt>
                <c:pt idx="30">
                  <c:v>0.585603912157421</c:v>
                </c:pt>
              </c:numCache>
            </c:numRef>
          </c:val>
        </c:ser>
        <c:axId val="96898142"/>
        <c:axId val="73440921"/>
      </c:radarChart>
      <c:catAx>
        <c:axId val="96898142"/>
        <c:scaling>
          <c:orientation val="maxMin"/>
        </c:scaling>
        <c:delete val="0"/>
        <c:axPos val="b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900" strike="noStrike" u="none">
                <a:solidFill>
                  <a:srgbClr val="595959"/>
                </a:solidFill>
                <a:uFillTx/>
                <a:latin typeface="Aptos Narrow"/>
              </a:defRPr>
            </a:pPr>
          </a:p>
        </c:txPr>
        <c:crossAx val="73440921"/>
        <c:crosses val="autoZero"/>
        <c:auto val="1"/>
        <c:lblAlgn val="ctr"/>
        <c:lblOffset val="100"/>
        <c:noMultiLvlLbl val="0"/>
      </c:catAx>
      <c:valAx>
        <c:axId val="73440921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900" strike="noStrike" u="none">
                <a:solidFill>
                  <a:srgbClr val="595959"/>
                </a:solidFill>
                <a:uFillTx/>
                <a:latin typeface="Aptos Narrow"/>
              </a:defRPr>
            </a:pPr>
          </a:p>
        </c:txPr>
        <c:crossAx val="96898142"/>
        <c:crosses val="autoZero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900" strike="noStrike" u="none">
              <a:solidFill>
                <a:srgbClr val="595959"/>
              </a:solidFill>
              <a:uFillTx/>
              <a:latin typeface="Aptos Narrow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2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0" lang="en-US" sz="1400" strike="noStrike" u="none">
                <a:solidFill>
                  <a:srgbClr val="595959"/>
                </a:solidFill>
                <a:uFillTx/>
                <a:latin typeface="Aptos Narrow"/>
              </a:rPr>
              <a:t>150</a:t>
            </a:r>
            <a:r>
              <a:rPr b="0" lang="en-US" sz="1400" strike="noStrike" u="none">
                <a:solidFill>
                  <a:srgbClr val="595959"/>
                </a:solidFill>
                <a:uFillTx/>
                <a:latin typeface="Aptos Narrow"/>
              </a:rPr>
              <a:t> - 0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"I"</c:f>
              <c:strCache>
                <c:ptCount val="1"/>
                <c:pt idx="0">
                  <c:v>I</c:v>
                </c:pt>
              </c:strCache>
            </c:strRef>
          </c:tx>
          <c:spPr>
            <a:solidFill>
              <a:srgbClr val="156082"/>
            </a:solidFill>
            <a:ln w="38160">
              <a:noFill/>
            </a:ln>
          </c:spPr>
          <c:marker>
            <c:symbol val="circle"/>
            <c:size val="5"/>
            <c:spPr>
              <a:solidFill>
                <a:srgbClr val="156082"/>
              </a:solidFill>
            </c:spPr>
          </c:marker>
          <c:dLbls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Aptos Narrow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38160">
                  <a:noFill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Лист1!$A$7:$A$22</c:f>
              <c:numCache>
                <c:formatCode>General</c:formatCode>
                <c:ptCount val="16"/>
                <c:pt idx="0">
                  <c:v>150</c:v>
                </c:pt>
                <c:pt idx="1">
                  <c:v>140</c:v>
                </c:pt>
                <c:pt idx="2">
                  <c:v>130</c:v>
                </c:pt>
                <c:pt idx="3">
                  <c:v>120</c:v>
                </c:pt>
                <c:pt idx="4">
                  <c:v>110</c:v>
                </c:pt>
                <c:pt idx="5">
                  <c:v>100</c:v>
                </c:pt>
                <c:pt idx="6">
                  <c:v>90</c:v>
                </c:pt>
                <c:pt idx="7">
                  <c:v>80</c:v>
                </c:pt>
                <c:pt idx="8">
                  <c:v>70</c:v>
                </c:pt>
                <c:pt idx="9">
                  <c:v>60</c:v>
                </c:pt>
                <c:pt idx="10">
                  <c:v>50</c:v>
                </c:pt>
                <c:pt idx="11">
                  <c:v>40</c:v>
                </c:pt>
                <c:pt idx="12">
                  <c:v>30</c:v>
                </c:pt>
                <c:pt idx="13">
                  <c:v>20</c:v>
                </c:pt>
                <c:pt idx="14">
                  <c:v>10</c:v>
                </c:pt>
                <c:pt idx="15">
                  <c:v>0</c:v>
                </c:pt>
              </c:numCache>
            </c:numRef>
          </c:xVal>
          <c:yVal>
            <c:numRef>
              <c:f>Лист1!$E$7:$E$22</c:f>
              <c:numCache>
                <c:formatCode>General</c:formatCode>
                <c:ptCount val="16"/>
                <c:pt idx="0">
                  <c:v>0.680506329113924</c:v>
                </c:pt>
                <c:pt idx="1">
                  <c:v>0.512405063291139</c:v>
                </c:pt>
                <c:pt idx="2">
                  <c:v>0.330126582278481</c:v>
                </c:pt>
                <c:pt idx="3">
                  <c:v>0.158481012658228</c:v>
                </c:pt>
                <c:pt idx="4">
                  <c:v>0.0815189873417722</c:v>
                </c:pt>
                <c:pt idx="5">
                  <c:v>0.0156962025316456</c:v>
                </c:pt>
                <c:pt idx="6">
                  <c:v>0.010126582278481</c:v>
                </c:pt>
                <c:pt idx="7">
                  <c:v>0.0531645569620253</c:v>
                </c:pt>
                <c:pt idx="8">
                  <c:v>0.140253164556962</c:v>
                </c:pt>
                <c:pt idx="9">
                  <c:v>0.278987341772152</c:v>
                </c:pt>
                <c:pt idx="10">
                  <c:v>0.451645569620253</c:v>
                </c:pt>
                <c:pt idx="11">
                  <c:v>0.617721518987342</c:v>
                </c:pt>
                <c:pt idx="12">
                  <c:v>0.785822784810127</c:v>
                </c:pt>
                <c:pt idx="13">
                  <c:v>0.947848101265823</c:v>
                </c:pt>
                <c:pt idx="14">
                  <c:v>1</c:v>
                </c:pt>
                <c:pt idx="15">
                  <c:v>0.995443037974684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"COS"</c:f>
              <c:strCache>
                <c:ptCount val="1"/>
                <c:pt idx="0">
                  <c:v>COS</c:v>
                </c:pt>
              </c:strCache>
            </c:strRef>
          </c:tx>
          <c:spPr>
            <a:solidFill>
              <a:srgbClr val="e97132"/>
            </a:solidFill>
            <a:ln w="38160">
              <a:noFill/>
            </a:ln>
          </c:spPr>
          <c:marker>
            <c:symbol val="circle"/>
            <c:size val="5"/>
            <c:spPr>
              <a:solidFill>
                <a:srgbClr val="e97132"/>
              </a:solidFill>
            </c:spPr>
          </c:marker>
          <c:dLbls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Aptos Narrow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38160">
                  <a:noFill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Лист1!$A$7:$A$22</c:f>
              <c:numCache>
                <c:formatCode>General</c:formatCode>
                <c:ptCount val="16"/>
                <c:pt idx="0">
                  <c:v>150</c:v>
                </c:pt>
                <c:pt idx="1">
                  <c:v>140</c:v>
                </c:pt>
                <c:pt idx="2">
                  <c:v>130</c:v>
                </c:pt>
                <c:pt idx="3">
                  <c:v>120</c:v>
                </c:pt>
                <c:pt idx="4">
                  <c:v>110</c:v>
                </c:pt>
                <c:pt idx="5">
                  <c:v>100</c:v>
                </c:pt>
                <c:pt idx="6">
                  <c:v>90</c:v>
                </c:pt>
                <c:pt idx="7">
                  <c:v>80</c:v>
                </c:pt>
                <c:pt idx="8">
                  <c:v>70</c:v>
                </c:pt>
                <c:pt idx="9">
                  <c:v>60</c:v>
                </c:pt>
                <c:pt idx="10">
                  <c:v>50</c:v>
                </c:pt>
                <c:pt idx="11">
                  <c:v>40</c:v>
                </c:pt>
                <c:pt idx="12">
                  <c:v>30</c:v>
                </c:pt>
                <c:pt idx="13">
                  <c:v>20</c:v>
                </c:pt>
                <c:pt idx="14">
                  <c:v>10</c:v>
                </c:pt>
                <c:pt idx="15">
                  <c:v>0</c:v>
                </c:pt>
              </c:numCache>
            </c:numRef>
          </c:xVal>
          <c:yVal>
            <c:numRef>
              <c:f>Лист1!$F$7:$F$22</c:f>
              <c:numCache>
                <c:formatCode>General</c:formatCode>
                <c:ptCount val="16"/>
                <c:pt idx="0">
                  <c:v>0.585603912157421</c:v>
                </c:pt>
                <c:pt idx="1">
                  <c:v>0.412043366979531</c:v>
                </c:pt>
                <c:pt idx="2">
                  <c:v>0.249081045388845</c:v>
                </c:pt>
                <c:pt idx="3">
                  <c:v>0.116352886838686</c:v>
                </c:pt>
                <c:pt idx="4">
                  <c:v>0.0298518034304658</c:v>
                </c:pt>
                <c:pt idx="5">
                  <c:v>6.34136230227258E-007</c:v>
                </c:pt>
                <c:pt idx="6">
                  <c:v>0.0303962579593651</c:v>
                </c:pt>
                <c:pt idx="7">
                  <c:v>0.117376192534553</c:v>
                </c:pt>
                <c:pt idx="8">
                  <c:v>0.25045990032219</c:v>
                </c:pt>
                <c:pt idx="9">
                  <c:v>0.413611627763822</c:v>
                </c:pt>
                <c:pt idx="10">
                  <c:v>0.587172613186948</c:v>
                </c:pt>
                <c:pt idx="11">
                  <c:v>0.750229844504103</c:v>
                </c:pt>
                <c:pt idx="12">
                  <c:v>0.883135946234149</c:v>
                </c:pt>
                <c:pt idx="13">
                  <c:v>0.969876565236592</c:v>
                </c:pt>
                <c:pt idx="14">
                  <c:v>1</c:v>
                </c:pt>
                <c:pt idx="15">
                  <c:v>0.969876565236592</c:v>
                </c:pt>
              </c:numCache>
            </c:numRef>
          </c:yVal>
          <c:smooth val="0"/>
        </c:ser>
        <c:axId val="43292708"/>
        <c:axId val="54169776"/>
      </c:scatterChart>
      <c:valAx>
        <c:axId val="43292708"/>
        <c:scaling>
          <c:orientation val="minMax"/>
        </c:scaling>
        <c:delete val="0"/>
        <c:axPos val="b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900" strike="noStrike" u="none">
                <a:solidFill>
                  <a:srgbClr val="595959"/>
                </a:solidFill>
                <a:uFillTx/>
                <a:latin typeface="Aptos Narrow"/>
              </a:defRPr>
            </a:pPr>
          </a:p>
        </c:txPr>
        <c:crossAx val="54169776"/>
        <c:crosses val="autoZero"/>
        <c:crossBetween val="midCat"/>
      </c:valAx>
      <c:valAx>
        <c:axId val="54169776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900" strike="noStrike" u="none">
                <a:solidFill>
                  <a:srgbClr val="595959"/>
                </a:solidFill>
                <a:uFillTx/>
                <a:latin typeface="Aptos Narrow"/>
              </a:defRPr>
            </a:pPr>
          </a:p>
        </c:txPr>
        <c:crossAx val="43292708"/>
        <c:crosses val="autoZero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900" strike="noStrike" u="none">
              <a:solidFill>
                <a:srgbClr val="595959"/>
              </a:solidFill>
              <a:uFillTx/>
              <a:latin typeface="Aptos Narrow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2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0" lang="en-US" sz="1400" strike="noStrike" u="none">
                <a:solidFill>
                  <a:srgbClr val="595959"/>
                </a:solidFill>
                <a:uFillTx/>
                <a:latin typeface="Aptos Narrow"/>
              </a:rPr>
              <a:t>0</a:t>
            </a:r>
            <a:r>
              <a:rPr b="0" lang="en-US" sz="1400" strike="noStrike" u="none">
                <a:solidFill>
                  <a:srgbClr val="595959"/>
                </a:solidFill>
                <a:uFillTx/>
                <a:latin typeface="Aptos Narrow"/>
              </a:rPr>
              <a:t> - 150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"I"</c:f>
              <c:strCache>
                <c:ptCount val="1"/>
                <c:pt idx="0">
                  <c:v>I</c:v>
                </c:pt>
              </c:strCache>
            </c:strRef>
          </c:tx>
          <c:spPr>
            <a:solidFill>
              <a:srgbClr val="156082"/>
            </a:solidFill>
            <a:ln w="25560">
              <a:noFill/>
            </a:ln>
          </c:spPr>
          <c:marker>
            <c:symbol val="circle"/>
            <c:size val="5"/>
            <c:spPr>
              <a:solidFill>
                <a:srgbClr val="156082"/>
              </a:solidFill>
            </c:spPr>
          </c:marker>
          <c:dLbls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Aptos Narrow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25560">
                  <a:noFill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Лист1!$A$22:$A$37</c:f>
              <c:numCache>
                <c:formatCode>General</c:formatCode>
                <c:ptCount val="16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</c:numCache>
            </c:numRef>
          </c:xVal>
          <c:yVal>
            <c:numRef>
              <c:f>Лист1!$F$23:$F$37</c:f>
              <c:numCache>
                <c:formatCode>General</c:formatCode>
                <c:ptCount val="15"/>
                <c:pt idx="0">
                  <c:v>1</c:v>
                </c:pt>
                <c:pt idx="1">
                  <c:v>0.969876565236592</c:v>
                </c:pt>
                <c:pt idx="2">
                  <c:v>0.883135946234149</c:v>
                </c:pt>
                <c:pt idx="3">
                  <c:v>0.750229844504103</c:v>
                </c:pt>
                <c:pt idx="4">
                  <c:v>0.587172613186948</c:v>
                </c:pt>
                <c:pt idx="5">
                  <c:v>0.413611627763822</c:v>
                </c:pt>
                <c:pt idx="6">
                  <c:v>0.25045990032219</c:v>
                </c:pt>
                <c:pt idx="7">
                  <c:v>0.117376192534553</c:v>
                </c:pt>
                <c:pt idx="8">
                  <c:v>0.0303962579593651</c:v>
                </c:pt>
                <c:pt idx="9">
                  <c:v>6.34136230227258E-007</c:v>
                </c:pt>
                <c:pt idx="10">
                  <c:v>0.0298518034304658</c:v>
                </c:pt>
                <c:pt idx="11">
                  <c:v>0.116352886838686</c:v>
                </c:pt>
                <c:pt idx="12">
                  <c:v>0.249081045388845</c:v>
                </c:pt>
                <c:pt idx="13">
                  <c:v>0.412043366979531</c:v>
                </c:pt>
                <c:pt idx="14">
                  <c:v>0.585603912157421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"COS"</c:f>
              <c:strCache>
                <c:ptCount val="1"/>
                <c:pt idx="0">
                  <c:v>COS</c:v>
                </c:pt>
              </c:strCache>
            </c:strRef>
          </c:tx>
          <c:spPr>
            <a:solidFill>
              <a:srgbClr val="e97132"/>
            </a:solidFill>
            <a:ln w="25560">
              <a:noFill/>
            </a:ln>
          </c:spPr>
          <c:marker>
            <c:symbol val="circle"/>
            <c:size val="5"/>
            <c:spPr>
              <a:solidFill>
                <a:srgbClr val="e97132"/>
              </a:solidFill>
            </c:spPr>
          </c:marker>
          <c:dLbls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Aptos Narrow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25560">
                  <a:noFill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Лист1!$A$23:$A$37</c:f>
              <c:numCache>
                <c:formatCode>General</c:formatCode>
                <c:ptCount val="15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  <c:pt idx="10">
                  <c:v>110</c:v>
                </c:pt>
                <c:pt idx="11">
                  <c:v>120</c:v>
                </c:pt>
                <c:pt idx="12">
                  <c:v>130</c:v>
                </c:pt>
                <c:pt idx="13">
                  <c:v>140</c:v>
                </c:pt>
                <c:pt idx="14">
                  <c:v>150</c:v>
                </c:pt>
              </c:numCache>
            </c:numRef>
          </c:xVal>
          <c:yVal>
            <c:numRef>
              <c:f>Лист1!$F$23:$F$37</c:f>
              <c:numCache>
                <c:formatCode>General</c:formatCode>
                <c:ptCount val="15"/>
                <c:pt idx="0">
                  <c:v>1</c:v>
                </c:pt>
                <c:pt idx="1">
                  <c:v>0.969876565236592</c:v>
                </c:pt>
                <c:pt idx="2">
                  <c:v>0.883135946234149</c:v>
                </c:pt>
                <c:pt idx="3">
                  <c:v>0.750229844504103</c:v>
                </c:pt>
                <c:pt idx="4">
                  <c:v>0.587172613186948</c:v>
                </c:pt>
                <c:pt idx="5">
                  <c:v>0.413611627763822</c:v>
                </c:pt>
                <c:pt idx="6">
                  <c:v>0.25045990032219</c:v>
                </c:pt>
                <c:pt idx="7">
                  <c:v>0.117376192534553</c:v>
                </c:pt>
                <c:pt idx="8">
                  <c:v>0.0303962579593651</c:v>
                </c:pt>
                <c:pt idx="9">
                  <c:v>6.34136230227258E-007</c:v>
                </c:pt>
                <c:pt idx="10">
                  <c:v>0.0298518034304658</c:v>
                </c:pt>
                <c:pt idx="11">
                  <c:v>0.116352886838686</c:v>
                </c:pt>
                <c:pt idx="12">
                  <c:v>0.249081045388845</c:v>
                </c:pt>
                <c:pt idx="13">
                  <c:v>0.412043366979531</c:v>
                </c:pt>
                <c:pt idx="14">
                  <c:v>0.585603912157421</c:v>
                </c:pt>
              </c:numCache>
            </c:numRef>
          </c:yVal>
          <c:smooth val="0"/>
        </c:ser>
        <c:axId val="64689616"/>
        <c:axId val="54003187"/>
      </c:scatterChart>
      <c:valAx>
        <c:axId val="64689616"/>
        <c:scaling>
          <c:orientation val="minMax"/>
        </c:scaling>
        <c:delete val="0"/>
        <c:axPos val="b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900" strike="noStrike" u="none">
                <a:solidFill>
                  <a:srgbClr val="595959"/>
                </a:solidFill>
                <a:uFillTx/>
                <a:latin typeface="Aptos Narrow"/>
              </a:defRPr>
            </a:pPr>
          </a:p>
        </c:txPr>
        <c:crossAx val="54003187"/>
        <c:crosses val="autoZero"/>
        <c:crossBetween val="midCat"/>
      </c:valAx>
      <c:valAx>
        <c:axId val="54003187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900" strike="noStrike" u="none">
                <a:solidFill>
                  <a:srgbClr val="595959"/>
                </a:solidFill>
                <a:uFillTx/>
                <a:latin typeface="Aptos Narrow"/>
              </a:defRPr>
            </a:pPr>
          </a:p>
        </c:txPr>
        <c:crossAx val="64689616"/>
        <c:crosses val="autoZero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900" strike="noStrike" u="none">
              <a:solidFill>
                <a:srgbClr val="595959"/>
              </a:solidFill>
              <a:uFillTx/>
              <a:latin typeface="Aptos Narrow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2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0" lang="en-US" sz="1400" strike="noStrike" u="none">
                <a:solidFill>
                  <a:srgbClr val="595959"/>
                </a:solidFill>
                <a:uFillTx/>
                <a:latin typeface="Aptos Narrow"/>
              </a:rPr>
              <a:t>150</a:t>
            </a:r>
            <a:r>
              <a:rPr b="0" lang="ru-RU" sz="1400" strike="noStrike" u="none">
                <a:solidFill>
                  <a:srgbClr val="595959"/>
                </a:solidFill>
                <a:uFillTx/>
                <a:latin typeface="Aptos Narrow"/>
              </a:rPr>
              <a:t> -</a:t>
            </a:r>
            <a:r>
              <a:rPr b="0" lang="en-US" sz="1400" strike="noStrike" u="none">
                <a:solidFill>
                  <a:srgbClr val="595959"/>
                </a:solidFill>
                <a:uFillTx/>
                <a:latin typeface="Aptos Narrow"/>
              </a:rPr>
              <a:t> 0 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"I"</c:f>
              <c:strCache>
                <c:ptCount val="1"/>
                <c:pt idx="0">
                  <c:v>I</c:v>
                </c:pt>
              </c:strCache>
            </c:strRef>
          </c:tx>
          <c:spPr>
            <a:solidFill>
              <a:srgbClr val="156082"/>
            </a:solidFill>
            <a:ln w="25560">
              <a:noFill/>
            </a:ln>
          </c:spPr>
          <c:marker>
            <c:symbol val="circle"/>
            <c:size val="5"/>
            <c:spPr>
              <a:solidFill>
                <a:srgbClr val="156082"/>
              </a:solidFill>
            </c:spPr>
          </c:marker>
          <c:dLbls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Aptos Narrow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25560">
                  <a:noFill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Лист1!$I$7:$I$22</c:f>
              <c:numCache>
                <c:formatCode>General</c:formatCode>
                <c:ptCount val="16"/>
                <c:pt idx="0">
                  <c:v>150</c:v>
                </c:pt>
                <c:pt idx="1">
                  <c:v>140</c:v>
                </c:pt>
                <c:pt idx="2">
                  <c:v>130</c:v>
                </c:pt>
                <c:pt idx="3">
                  <c:v>120</c:v>
                </c:pt>
                <c:pt idx="4">
                  <c:v>110</c:v>
                </c:pt>
                <c:pt idx="5">
                  <c:v>100</c:v>
                </c:pt>
                <c:pt idx="6">
                  <c:v>90</c:v>
                </c:pt>
                <c:pt idx="7">
                  <c:v>80</c:v>
                </c:pt>
                <c:pt idx="8">
                  <c:v>70</c:v>
                </c:pt>
                <c:pt idx="9">
                  <c:v>60</c:v>
                </c:pt>
                <c:pt idx="10">
                  <c:v>50</c:v>
                </c:pt>
                <c:pt idx="11">
                  <c:v>40</c:v>
                </c:pt>
                <c:pt idx="12">
                  <c:v>30</c:v>
                </c:pt>
                <c:pt idx="13">
                  <c:v>20</c:v>
                </c:pt>
                <c:pt idx="14">
                  <c:v>10</c:v>
                </c:pt>
                <c:pt idx="15">
                  <c:v>0</c:v>
                </c:pt>
              </c:numCache>
            </c:numRef>
          </c:xVal>
          <c:yVal>
            <c:numRef>
              <c:f>Лист1!$M$7:$M$22</c:f>
              <c:numCache>
                <c:formatCode>General</c:formatCode>
                <c:ptCount val="16"/>
                <c:pt idx="0">
                  <c:v>0.96969696969697</c:v>
                </c:pt>
                <c:pt idx="1">
                  <c:v>0.94949494949495</c:v>
                </c:pt>
                <c:pt idx="2">
                  <c:v>0.823232323232323</c:v>
                </c:pt>
                <c:pt idx="3">
                  <c:v>0.409090909090909</c:v>
                </c:pt>
                <c:pt idx="4">
                  <c:v>0.348484848484849</c:v>
                </c:pt>
                <c:pt idx="5">
                  <c:v>0.328282828282828</c:v>
                </c:pt>
                <c:pt idx="6">
                  <c:v>0.348484848484849</c:v>
                </c:pt>
                <c:pt idx="7">
                  <c:v>0.348484848484849</c:v>
                </c:pt>
                <c:pt idx="8">
                  <c:v>0.439393939393939</c:v>
                </c:pt>
                <c:pt idx="9">
                  <c:v>0.525252525252525</c:v>
                </c:pt>
                <c:pt idx="10">
                  <c:v>0.631313131313131</c:v>
                </c:pt>
                <c:pt idx="11">
                  <c:v>0.742424242424242</c:v>
                </c:pt>
                <c:pt idx="12">
                  <c:v>0.843434343434343</c:v>
                </c:pt>
                <c:pt idx="13">
                  <c:v>0.984848484848485</c:v>
                </c:pt>
                <c:pt idx="14">
                  <c:v>1</c:v>
                </c:pt>
                <c:pt idx="15">
                  <c:v>0.934343434343434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"cos"</c:f>
              <c:strCache>
                <c:ptCount val="1"/>
                <c:pt idx="0">
                  <c:v>cos</c:v>
                </c:pt>
              </c:strCache>
            </c:strRef>
          </c:tx>
          <c:spPr>
            <a:solidFill>
              <a:srgbClr val="e97132"/>
            </a:solidFill>
            <a:ln w="25560">
              <a:noFill/>
            </a:ln>
          </c:spPr>
          <c:marker>
            <c:symbol val="circle"/>
            <c:size val="5"/>
            <c:spPr>
              <a:solidFill>
                <a:srgbClr val="e97132"/>
              </a:solidFill>
            </c:spPr>
          </c:marker>
          <c:dLbls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Aptos Narrow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25560">
                  <a:noFill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Лист1!$I$7:$I$22</c:f>
              <c:numCache>
                <c:formatCode>General</c:formatCode>
                <c:ptCount val="16"/>
                <c:pt idx="0">
                  <c:v>150</c:v>
                </c:pt>
                <c:pt idx="1">
                  <c:v>140</c:v>
                </c:pt>
                <c:pt idx="2">
                  <c:v>130</c:v>
                </c:pt>
                <c:pt idx="3">
                  <c:v>120</c:v>
                </c:pt>
                <c:pt idx="4">
                  <c:v>110</c:v>
                </c:pt>
                <c:pt idx="5">
                  <c:v>100</c:v>
                </c:pt>
                <c:pt idx="6">
                  <c:v>90</c:v>
                </c:pt>
                <c:pt idx="7">
                  <c:v>80</c:v>
                </c:pt>
                <c:pt idx="8">
                  <c:v>70</c:v>
                </c:pt>
                <c:pt idx="9">
                  <c:v>60</c:v>
                </c:pt>
                <c:pt idx="10">
                  <c:v>50</c:v>
                </c:pt>
                <c:pt idx="11">
                  <c:v>40</c:v>
                </c:pt>
                <c:pt idx="12">
                  <c:v>30</c:v>
                </c:pt>
                <c:pt idx="13">
                  <c:v>20</c:v>
                </c:pt>
                <c:pt idx="14">
                  <c:v>10</c:v>
                </c:pt>
                <c:pt idx="15">
                  <c:v>0</c:v>
                </c:pt>
              </c:numCache>
            </c:numRef>
          </c:xVal>
          <c:yVal>
            <c:numRef>
              <c:f>Лист1!$N$7:$N$22</c:f>
              <c:numCache>
                <c:formatCode>General</c:formatCode>
                <c:ptCount val="16"/>
                <c:pt idx="0">
                  <c:v>0.585603912157421</c:v>
                </c:pt>
                <c:pt idx="1">
                  <c:v>0.412043366979531</c:v>
                </c:pt>
                <c:pt idx="2">
                  <c:v>0.249081045388845</c:v>
                </c:pt>
                <c:pt idx="3">
                  <c:v>0.116352886838686</c:v>
                </c:pt>
                <c:pt idx="4">
                  <c:v>0.0298518034304658</c:v>
                </c:pt>
                <c:pt idx="5">
                  <c:v>6.34136230227258E-007</c:v>
                </c:pt>
                <c:pt idx="6">
                  <c:v>0.0303962579593651</c:v>
                </c:pt>
                <c:pt idx="7">
                  <c:v>0.117376192534553</c:v>
                </c:pt>
                <c:pt idx="8">
                  <c:v>0.25045990032219</c:v>
                </c:pt>
                <c:pt idx="9">
                  <c:v>0.413611627763822</c:v>
                </c:pt>
                <c:pt idx="10">
                  <c:v>0.587172613186948</c:v>
                </c:pt>
                <c:pt idx="11">
                  <c:v>0.750229844504103</c:v>
                </c:pt>
                <c:pt idx="12">
                  <c:v>0.883135946234149</c:v>
                </c:pt>
                <c:pt idx="13">
                  <c:v>0.969876565236592</c:v>
                </c:pt>
                <c:pt idx="14">
                  <c:v>1</c:v>
                </c:pt>
                <c:pt idx="15">
                  <c:v>0.969876565236592</c:v>
                </c:pt>
              </c:numCache>
            </c:numRef>
          </c:yVal>
          <c:smooth val="0"/>
        </c:ser>
        <c:axId val="28062614"/>
        <c:axId val="97396802"/>
      </c:scatterChart>
      <c:valAx>
        <c:axId val="28062614"/>
        <c:scaling>
          <c:orientation val="minMax"/>
        </c:scaling>
        <c:delete val="0"/>
        <c:axPos val="b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900" strike="noStrike" u="none">
                <a:solidFill>
                  <a:srgbClr val="595959"/>
                </a:solidFill>
                <a:uFillTx/>
                <a:latin typeface="Aptos Narrow"/>
              </a:defRPr>
            </a:pPr>
          </a:p>
        </c:txPr>
        <c:crossAx val="97396802"/>
        <c:crosses val="autoZero"/>
        <c:crossBetween val="midCat"/>
      </c:valAx>
      <c:valAx>
        <c:axId val="97396802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900" strike="noStrike" u="none">
                <a:solidFill>
                  <a:srgbClr val="595959"/>
                </a:solidFill>
                <a:uFillTx/>
                <a:latin typeface="Aptos Narrow"/>
              </a:defRPr>
            </a:pPr>
          </a:p>
        </c:txPr>
        <c:crossAx val="28062614"/>
        <c:crosses val="autoZero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900" strike="noStrike" u="none">
              <a:solidFill>
                <a:srgbClr val="595959"/>
              </a:solidFill>
              <a:uFillTx/>
              <a:latin typeface="Aptos Narrow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2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0" lang="en-US" sz="1400" strike="noStrike" u="none">
                <a:solidFill>
                  <a:srgbClr val="595959"/>
                </a:solidFill>
                <a:uFillTx/>
                <a:latin typeface="Aptos Narrow"/>
              </a:rPr>
              <a:t>0</a:t>
            </a:r>
            <a:r>
              <a:rPr b="0" lang="en-US" sz="1400" strike="noStrike" u="none">
                <a:solidFill>
                  <a:srgbClr val="595959"/>
                </a:solidFill>
                <a:uFillTx/>
                <a:latin typeface="Aptos Narrow"/>
              </a:rPr>
              <a:t> - 150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"I"</c:f>
              <c:strCache>
                <c:ptCount val="1"/>
                <c:pt idx="0">
                  <c:v>I</c:v>
                </c:pt>
              </c:strCache>
            </c:strRef>
          </c:tx>
          <c:spPr>
            <a:solidFill>
              <a:srgbClr val="156082"/>
            </a:solidFill>
            <a:ln w="25560">
              <a:noFill/>
            </a:ln>
          </c:spPr>
          <c:marker>
            <c:symbol val="circle"/>
            <c:size val="5"/>
            <c:spPr>
              <a:solidFill>
                <a:srgbClr val="156082"/>
              </a:solidFill>
            </c:spPr>
          </c:marker>
          <c:dLbls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Aptos Narrow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25560">
                  <a:noFill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Лист1!$I$22:$I$37</c:f>
              <c:numCache>
                <c:formatCode>General</c:formatCode>
                <c:ptCount val="16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</c:numCache>
            </c:numRef>
          </c:xVal>
          <c:yVal>
            <c:numRef>
              <c:f>Лист1!$M$22:$M$37</c:f>
              <c:numCache>
                <c:formatCode>General</c:formatCode>
                <c:ptCount val="16"/>
                <c:pt idx="0">
                  <c:v>0.934343434343434</c:v>
                </c:pt>
                <c:pt idx="1">
                  <c:v>0.878787878787879</c:v>
                </c:pt>
                <c:pt idx="2">
                  <c:v>0.828282828282828</c:v>
                </c:pt>
                <c:pt idx="3">
                  <c:v>0.752525252525253</c:v>
                </c:pt>
                <c:pt idx="4">
                  <c:v>0.626262626262626</c:v>
                </c:pt>
                <c:pt idx="5">
                  <c:v>0.505050505050505</c:v>
                </c:pt>
                <c:pt idx="6">
                  <c:v>0.439393939393939</c:v>
                </c:pt>
                <c:pt idx="7">
                  <c:v>0.378787878787879</c:v>
                </c:pt>
                <c:pt idx="8">
                  <c:v>0.303030303030303</c:v>
                </c:pt>
                <c:pt idx="9">
                  <c:v>0.297979797979798</c:v>
                </c:pt>
                <c:pt idx="10">
                  <c:v>0.318181818181818</c:v>
                </c:pt>
                <c:pt idx="11">
                  <c:v>0.378787878787879</c:v>
                </c:pt>
                <c:pt idx="12">
                  <c:v>0.47979797979798</c:v>
                </c:pt>
                <c:pt idx="13">
                  <c:v>0.651515151515152</c:v>
                </c:pt>
                <c:pt idx="14">
                  <c:v>0.803030303030303</c:v>
                </c:pt>
                <c:pt idx="15">
                  <c:v>0.929292929292929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"cos"</c:f>
              <c:strCache>
                <c:ptCount val="1"/>
                <c:pt idx="0">
                  <c:v>cos</c:v>
                </c:pt>
              </c:strCache>
            </c:strRef>
          </c:tx>
          <c:spPr>
            <a:solidFill>
              <a:srgbClr val="e97132"/>
            </a:solidFill>
            <a:ln w="25560">
              <a:noFill/>
            </a:ln>
          </c:spPr>
          <c:marker>
            <c:symbol val="circle"/>
            <c:size val="5"/>
            <c:spPr>
              <a:solidFill>
                <a:srgbClr val="e97132"/>
              </a:solidFill>
            </c:spPr>
          </c:marker>
          <c:dLbls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Aptos Narrow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25560">
                  <a:noFill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Лист1!$I$22:$I$37</c:f>
              <c:numCache>
                <c:formatCode>General</c:formatCode>
                <c:ptCount val="16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</c:numCache>
            </c:numRef>
          </c:xVal>
          <c:yVal>
            <c:numRef>
              <c:f>Лист1!$N$22:$N$37</c:f>
              <c:numCache>
                <c:formatCode>General</c:formatCode>
                <c:ptCount val="16"/>
                <c:pt idx="0">
                  <c:v>0.969876565236592</c:v>
                </c:pt>
                <c:pt idx="1">
                  <c:v>1</c:v>
                </c:pt>
                <c:pt idx="2">
                  <c:v>0.969876565236592</c:v>
                </c:pt>
                <c:pt idx="3">
                  <c:v>0.883135946234149</c:v>
                </c:pt>
                <c:pt idx="4">
                  <c:v>0.750229844504103</c:v>
                </c:pt>
                <c:pt idx="5">
                  <c:v>0.587172613186948</c:v>
                </c:pt>
                <c:pt idx="6">
                  <c:v>0.413611627763822</c:v>
                </c:pt>
                <c:pt idx="7">
                  <c:v>0.25045990032219</c:v>
                </c:pt>
                <c:pt idx="8">
                  <c:v>0.117376192534553</c:v>
                </c:pt>
                <c:pt idx="9">
                  <c:v>0.0303962579593651</c:v>
                </c:pt>
                <c:pt idx="10">
                  <c:v>6.34136230227258E-007</c:v>
                </c:pt>
                <c:pt idx="11">
                  <c:v>0.0298518034304658</c:v>
                </c:pt>
                <c:pt idx="12">
                  <c:v>0.116352886838686</c:v>
                </c:pt>
                <c:pt idx="13">
                  <c:v>0.249081045388845</c:v>
                </c:pt>
                <c:pt idx="14">
                  <c:v>0.412043366979531</c:v>
                </c:pt>
                <c:pt idx="15">
                  <c:v>0.585603912157421</c:v>
                </c:pt>
              </c:numCache>
            </c:numRef>
          </c:yVal>
          <c:smooth val="0"/>
        </c:ser>
        <c:axId val="79799809"/>
        <c:axId val="17353386"/>
      </c:scatterChart>
      <c:valAx>
        <c:axId val="79799809"/>
        <c:scaling>
          <c:orientation val="minMax"/>
        </c:scaling>
        <c:delete val="0"/>
        <c:axPos val="b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900" strike="noStrike" u="none">
                <a:solidFill>
                  <a:srgbClr val="595959"/>
                </a:solidFill>
                <a:uFillTx/>
                <a:latin typeface="Aptos Narrow"/>
              </a:defRPr>
            </a:pPr>
          </a:p>
        </c:txPr>
        <c:crossAx val="17353386"/>
        <c:crosses val="autoZero"/>
        <c:crossBetween val="midCat"/>
      </c:valAx>
      <c:valAx>
        <c:axId val="17353386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900" strike="noStrike" u="none">
                <a:solidFill>
                  <a:srgbClr val="595959"/>
                </a:solidFill>
                <a:uFillTx/>
                <a:latin typeface="Aptos Narrow"/>
              </a:defRPr>
            </a:pPr>
          </a:p>
        </c:txPr>
        <c:crossAx val="79799809"/>
        <c:crosses val="autoZero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900" strike="noStrike" u="none">
              <a:solidFill>
                <a:srgbClr val="595959"/>
              </a:solidFill>
              <a:uFillTx/>
              <a:latin typeface="Aptos Narrow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119520</xdr:colOff>
      <xdr:row>38</xdr:row>
      <xdr:rowOff>66960</xdr:rowOff>
    </xdr:from>
    <xdr:to>
      <xdr:col>9</xdr:col>
      <xdr:colOff>392040</xdr:colOff>
      <xdr:row>53</xdr:row>
      <xdr:rowOff>80280</xdr:rowOff>
    </xdr:to>
    <xdr:graphicFrame>
      <xdr:nvGraphicFramePr>
        <xdr:cNvPr id="1" name="Диаграмма 9"/>
        <xdr:cNvGraphicFramePr/>
      </xdr:nvGraphicFramePr>
      <xdr:xfrm>
        <a:off x="1495080" y="6944040"/>
        <a:ext cx="5086440" cy="27280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</xdr:col>
      <xdr:colOff>150840</xdr:colOff>
      <xdr:row>53</xdr:row>
      <xdr:rowOff>105480</xdr:rowOff>
    </xdr:from>
    <xdr:to>
      <xdr:col>9</xdr:col>
      <xdr:colOff>422640</xdr:colOff>
      <xdr:row>68</xdr:row>
      <xdr:rowOff>118800</xdr:rowOff>
    </xdr:to>
    <xdr:graphicFrame>
      <xdr:nvGraphicFramePr>
        <xdr:cNvPr id="2" name="Диаграмма 10"/>
        <xdr:cNvGraphicFramePr/>
      </xdr:nvGraphicFramePr>
      <xdr:xfrm>
        <a:off x="1526400" y="9697320"/>
        <a:ext cx="5085720" cy="27277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23</xdr:col>
      <xdr:colOff>80640</xdr:colOff>
      <xdr:row>39</xdr:row>
      <xdr:rowOff>142920</xdr:rowOff>
    </xdr:from>
    <xdr:to>
      <xdr:col>30</xdr:col>
      <xdr:colOff>364320</xdr:colOff>
      <xdr:row>54</xdr:row>
      <xdr:rowOff>149040</xdr:rowOff>
    </xdr:to>
    <xdr:graphicFrame>
      <xdr:nvGraphicFramePr>
        <xdr:cNvPr id="3" name="Диаграмма 2"/>
        <xdr:cNvGraphicFramePr/>
      </xdr:nvGraphicFramePr>
      <xdr:xfrm>
        <a:off x="15897960" y="7201080"/>
        <a:ext cx="5097600" cy="27205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23</xdr:col>
      <xdr:colOff>43200</xdr:colOff>
      <xdr:row>54</xdr:row>
      <xdr:rowOff>179280</xdr:rowOff>
    </xdr:from>
    <xdr:to>
      <xdr:col>30</xdr:col>
      <xdr:colOff>371880</xdr:colOff>
      <xdr:row>69</xdr:row>
      <xdr:rowOff>72360</xdr:rowOff>
    </xdr:to>
    <xdr:graphicFrame>
      <xdr:nvGraphicFramePr>
        <xdr:cNvPr id="4" name="Диаграмма 3"/>
        <xdr:cNvGraphicFramePr/>
      </xdr:nvGraphicFramePr>
      <xdr:xfrm>
        <a:off x="15860520" y="9951840"/>
        <a:ext cx="5142600" cy="26078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30</xdr:col>
      <xdr:colOff>597600</xdr:colOff>
      <xdr:row>39</xdr:row>
      <xdr:rowOff>55440</xdr:rowOff>
    </xdr:from>
    <xdr:to>
      <xdr:col>38</xdr:col>
      <xdr:colOff>268560</xdr:colOff>
      <xdr:row>54</xdr:row>
      <xdr:rowOff>108720</xdr:rowOff>
    </xdr:to>
    <xdr:graphicFrame>
      <xdr:nvGraphicFramePr>
        <xdr:cNvPr id="5" name="Диаграмма 4"/>
        <xdr:cNvGraphicFramePr/>
      </xdr:nvGraphicFramePr>
      <xdr:xfrm>
        <a:off x="21228840" y="7113600"/>
        <a:ext cx="5172480" cy="27676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31</xdr:col>
      <xdr:colOff>15120</xdr:colOff>
      <xdr:row>55</xdr:row>
      <xdr:rowOff>100080</xdr:rowOff>
    </xdr:from>
    <xdr:to>
      <xdr:col>38</xdr:col>
      <xdr:colOff>298800</xdr:colOff>
      <xdr:row>70</xdr:row>
      <xdr:rowOff>153360</xdr:rowOff>
    </xdr:to>
    <xdr:graphicFrame>
      <xdr:nvGraphicFramePr>
        <xdr:cNvPr id="6" name="Диаграмма 6"/>
        <xdr:cNvGraphicFramePr/>
      </xdr:nvGraphicFramePr>
      <xdr:xfrm>
        <a:off x="21333960" y="10053720"/>
        <a:ext cx="5097600" cy="27680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Тема Office">
  <a:themeElements>
    <a:clrScheme name="Стандартная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U117"/>
  <sheetViews>
    <sheetView showFormulas="false" showGridLines="true" showRowColHeaders="true" showZeros="true" rightToLeft="false" tabSelected="true" showOutlineSymbols="true" defaultGridColor="true" view="normal" topLeftCell="B1" colorId="64" zoomScale="85" zoomScaleNormal="85" zoomScalePageLayoutView="100" workbookViewId="0">
      <selection pane="topLeft" activeCell="G14" activeCellId="0" sqref="G14"/>
    </sheetView>
  </sheetViews>
  <sheetFormatPr defaultColWidth="8.59765625" defaultRowHeight="14.25" customHeight="true" zeroHeight="false" outlineLevelRow="0" outlineLevelCol="0"/>
  <sheetData>
    <row r="1" customFormat="false" ht="14.25" hidden="false" customHeight="false" outlineLevel="0" collapsed="false">
      <c r="A1" s="1" t="s">
        <v>0</v>
      </c>
      <c r="B1" s="1" t="n">
        <v>1.543</v>
      </c>
      <c r="D1" s="1" t="s">
        <v>1</v>
      </c>
      <c r="E1" s="1" t="s">
        <v>2</v>
      </c>
      <c r="F1" s="1" t="s">
        <v>3</v>
      </c>
      <c r="I1" s="1" t="s">
        <v>4</v>
      </c>
      <c r="J1" s="1" t="s">
        <v>5</v>
      </c>
      <c r="L1" s="1" t="s">
        <v>1</v>
      </c>
      <c r="M1" s="1" t="s">
        <v>6</v>
      </c>
      <c r="Q1" s="2" t="s">
        <v>7</v>
      </c>
    </row>
    <row r="2" customFormat="false" ht="14.25" hidden="false" customHeight="false" outlineLevel="0" collapsed="false">
      <c r="D2" s="1" t="n">
        <f aca="false">(MAX(D7:D37)-MIN(D7:D37))/(MAX(D7:D37)+MIN(D7:D37))</f>
        <v>0.982931726907631</v>
      </c>
      <c r="E2" s="1" t="n">
        <f aca="false">(MAX(D7:D37))/B1</f>
        <v>0.6399870382372</v>
      </c>
      <c r="F2" s="1" t="n">
        <f aca="false">(MIN(D7:D37))/B1</f>
        <v>0.00550874918988983</v>
      </c>
      <c r="I2" s="1" t="n">
        <v>0.398</v>
      </c>
      <c r="J2" s="1" t="n">
        <v>0.98</v>
      </c>
      <c r="L2" s="1" t="n">
        <f aca="false">(J2-I2)/(J2+I2)</f>
        <v>0.422351233671988</v>
      </c>
      <c r="M2" s="1" t="n">
        <f aca="false">(MAX(L7:L37)-MIN(L7:L37))/(MAX(L7:L37)+MIN(L7:L37))</f>
        <v>0.540856031128405</v>
      </c>
      <c r="Q2" s="1" t="s">
        <v>8</v>
      </c>
      <c r="R2" s="1" t="n">
        <v>0</v>
      </c>
      <c r="T2" s="1" t="s">
        <v>9</v>
      </c>
      <c r="U2" s="3" t="n">
        <v>0.002</v>
      </c>
    </row>
    <row r="3" customFormat="false" ht="14.25" hidden="false" customHeight="false" outlineLevel="0" collapsed="false">
      <c r="D3" s="4" t="s">
        <v>7</v>
      </c>
      <c r="E3" s="4"/>
      <c r="F3" s="4"/>
      <c r="L3" s="4" t="s">
        <v>10</v>
      </c>
      <c r="M3" s="4"/>
      <c r="Q3" s="1" t="s">
        <v>8</v>
      </c>
      <c r="R3" s="1" t="n">
        <v>90</v>
      </c>
      <c r="T3" s="1" t="s">
        <v>9</v>
      </c>
      <c r="U3" s="3" t="n">
        <v>0.001</v>
      </c>
    </row>
    <row r="6" customFormat="false" ht="14.25" hidden="false" customHeight="false" outlineLevel="0" collapsed="false">
      <c r="A6" s="1" t="s">
        <v>11</v>
      </c>
      <c r="B6" s="1" t="s">
        <v>12</v>
      </c>
      <c r="C6" s="1" t="s">
        <v>13</v>
      </c>
      <c r="D6" s="1" t="s">
        <v>14</v>
      </c>
      <c r="E6" s="1" t="s">
        <v>15</v>
      </c>
      <c r="F6" s="1" t="s">
        <v>16</v>
      </c>
      <c r="I6" s="1" t="s">
        <v>11</v>
      </c>
      <c r="J6" s="1" t="s">
        <v>17</v>
      </c>
      <c r="K6" s="1" t="s">
        <v>18</v>
      </c>
      <c r="L6" s="1" t="s">
        <v>14</v>
      </c>
      <c r="M6" s="1" t="s">
        <v>19</v>
      </c>
      <c r="N6" s="2" t="s">
        <v>16</v>
      </c>
      <c r="Q6" s="2" t="s">
        <v>20</v>
      </c>
    </row>
    <row r="7" customFormat="false" ht="14.25" hidden="false" customHeight="false" outlineLevel="0" collapsed="false">
      <c r="A7" s="0" t="n">
        <v>150</v>
      </c>
      <c r="B7" s="3" t="n">
        <v>0.663</v>
      </c>
      <c r="C7" s="3" t="n">
        <v>0.681</v>
      </c>
      <c r="D7" s="1" t="n">
        <f aca="false">(B7+C7)/2</f>
        <v>0.672</v>
      </c>
      <c r="E7" s="1" t="n">
        <f aca="false">D7/MAX($D$7:$D$37)</f>
        <v>0.680506329113924</v>
      </c>
      <c r="F7" s="1" t="n">
        <f aca="false">COS(((A7*3.14)/180)-(($A$21*3.14)/180))^2</f>
        <v>0.585603912157421</v>
      </c>
      <c r="I7" s="0" t="n">
        <v>150</v>
      </c>
      <c r="J7" s="0" t="n">
        <v>0.098</v>
      </c>
      <c r="K7" s="0" t="n">
        <v>0.094</v>
      </c>
      <c r="L7" s="1" t="n">
        <f aca="false">(J7+K7)/2</f>
        <v>0.096</v>
      </c>
      <c r="M7" s="5" t="n">
        <f aca="false">L7/MAX($L$7:$L$37)</f>
        <v>0.96969696969697</v>
      </c>
      <c r="N7" s="1" t="n">
        <f aca="false">COS(((I7*3.14)/180)-(($I$21*3.14)/180))^2</f>
        <v>0.585603912157421</v>
      </c>
      <c r="Q7" s="1" t="s">
        <v>8</v>
      </c>
      <c r="R7" s="1" t="n">
        <v>23</v>
      </c>
      <c r="T7" s="1" t="s">
        <v>5</v>
      </c>
      <c r="U7" s="0" t="n">
        <v>0.162</v>
      </c>
      <c r="W7" s="0" t="s">
        <v>21</v>
      </c>
      <c r="Y7" s="0" t="s">
        <v>1</v>
      </c>
    </row>
    <row r="8" customFormat="false" ht="14.25" hidden="false" customHeight="false" outlineLevel="0" collapsed="false">
      <c r="A8" s="0" t="n">
        <v>140</v>
      </c>
      <c r="B8" s="3" t="n">
        <v>0.483</v>
      </c>
      <c r="C8" s="3" t="n">
        <v>0.529</v>
      </c>
      <c r="D8" s="1" t="n">
        <f aca="false">(B8+C8)/2</f>
        <v>0.506</v>
      </c>
      <c r="E8" s="1" t="n">
        <f aca="false">D8/MAX($D$7:$D$37)</f>
        <v>0.512405063291139</v>
      </c>
      <c r="F8" s="1" t="n">
        <f aca="false">COS(((A8*3.14)/180)-(($A$21*3.14)/180))^2</f>
        <v>0.412043366979531</v>
      </c>
      <c r="I8" s="0" t="n">
        <v>140</v>
      </c>
      <c r="J8" s="0" t="n">
        <v>0.096</v>
      </c>
      <c r="K8" s="0" t="n">
        <v>0.092</v>
      </c>
      <c r="L8" s="1" t="n">
        <f aca="false">(J8+K8)/2</f>
        <v>0.094</v>
      </c>
      <c r="M8" s="5" t="n">
        <f aca="false">L8/MAX($L$7:$L$37)</f>
        <v>0.94949494949495</v>
      </c>
      <c r="N8" s="1" t="n">
        <f aca="false">COS(((I8*3.14)/180)-(($I$21*3.14)/180))^2</f>
        <v>0.412043366979531</v>
      </c>
      <c r="Q8" s="1" t="s">
        <v>8</v>
      </c>
      <c r="R8" s="1" t="n">
        <v>85</v>
      </c>
      <c r="T8" s="1" t="s">
        <v>4</v>
      </c>
      <c r="U8" s="0" t="n">
        <v>0.106</v>
      </c>
      <c r="W8" s="0" t="n">
        <f aca="false">(U7-U8)/(U7+U8)</f>
        <v>0.208955223880597</v>
      </c>
    </row>
    <row r="9" customFormat="false" ht="14.25" hidden="false" customHeight="false" outlineLevel="0" collapsed="false">
      <c r="A9" s="0" t="n">
        <v>130</v>
      </c>
      <c r="B9" s="3" t="n">
        <v>0.313</v>
      </c>
      <c r="C9" s="3" t="n">
        <v>0.339</v>
      </c>
      <c r="D9" s="1" t="n">
        <f aca="false">(B9+C9)/2</f>
        <v>0.326</v>
      </c>
      <c r="E9" s="1" t="n">
        <f aca="false">D9/MAX($D$7:$D$37)</f>
        <v>0.330126582278481</v>
      </c>
      <c r="F9" s="1" t="n">
        <f aca="false">COS(((A9*3.14)/180)-(($A$21*3.14)/180))^2</f>
        <v>0.249081045388845</v>
      </c>
      <c r="I9" s="0" t="n">
        <v>130</v>
      </c>
      <c r="J9" s="0" t="n">
        <v>0.08</v>
      </c>
      <c r="K9" s="0" t="n">
        <v>0.083</v>
      </c>
      <c r="L9" s="1" t="n">
        <f aca="false">(J9+K9)/2</f>
        <v>0.0815</v>
      </c>
      <c r="M9" s="5" t="n">
        <f aca="false">L9/MAX($L$7:$L$37)</f>
        <v>0.823232323232323</v>
      </c>
      <c r="N9" s="1" t="n">
        <f aca="false">COS(((I9*3.14)/180)-(($I$21*3.14)/180))^2</f>
        <v>0.249081045388845</v>
      </c>
    </row>
    <row r="10" customFormat="false" ht="14.25" hidden="false" customHeight="false" outlineLevel="0" collapsed="false">
      <c r="A10" s="0" t="n">
        <v>120</v>
      </c>
      <c r="B10" s="3" t="n">
        <v>0.118</v>
      </c>
      <c r="C10" s="3" t="n">
        <v>0.195</v>
      </c>
      <c r="D10" s="1" t="n">
        <f aca="false">(B10+C10)/2</f>
        <v>0.1565</v>
      </c>
      <c r="E10" s="1" t="n">
        <f aca="false">D10/MAX($D$7:$D$37)</f>
        <v>0.158481012658228</v>
      </c>
      <c r="F10" s="1" t="n">
        <f aca="false">COS(((A10*3.14)/180)-(($A$21*3.14)/180))^2</f>
        <v>0.116352886838686</v>
      </c>
      <c r="I10" s="0" t="n">
        <v>120</v>
      </c>
      <c r="J10" s="0" t="n">
        <v>0.042</v>
      </c>
      <c r="K10" s="0" t="n">
        <v>0.039</v>
      </c>
      <c r="L10" s="1" t="n">
        <f aca="false">(J10+K10)/2</f>
        <v>0.0405</v>
      </c>
      <c r="M10" s="5" t="n">
        <f aca="false">L10/MAX($L$7:$L$37)</f>
        <v>0.409090909090909</v>
      </c>
      <c r="N10" s="1" t="n">
        <f aca="false">COS(((I10*3.14)/180)-(($I$21*3.14)/180))^2</f>
        <v>0.116352886838686</v>
      </c>
    </row>
    <row r="11" customFormat="false" ht="14.25" hidden="false" customHeight="false" outlineLevel="0" collapsed="false">
      <c r="A11" s="0" t="n">
        <v>110</v>
      </c>
      <c r="B11" s="3" t="n">
        <v>0.069</v>
      </c>
      <c r="C11" s="3" t="n">
        <v>0.092</v>
      </c>
      <c r="D11" s="1" t="n">
        <f aca="false">(B11+C11)/2</f>
        <v>0.0805</v>
      </c>
      <c r="E11" s="1" t="n">
        <f aca="false">D11/MAX($D$7:$D$37)</f>
        <v>0.0815189873417722</v>
      </c>
      <c r="F11" s="1" t="n">
        <f aca="false">COS(((A11*3.14)/180)-(($A$21*3.14)/180))^2</f>
        <v>0.0298518034304658</v>
      </c>
      <c r="I11" s="0" t="n">
        <v>110</v>
      </c>
      <c r="J11" s="0" t="n">
        <v>0.036</v>
      </c>
      <c r="K11" s="0" t="n">
        <v>0.033</v>
      </c>
      <c r="L11" s="1" t="n">
        <f aca="false">(J11+K11)/2</f>
        <v>0.0345</v>
      </c>
      <c r="M11" s="5" t="n">
        <f aca="false">L11/MAX($L$7:$L$37)</f>
        <v>0.348484848484849</v>
      </c>
      <c r="N11" s="1" t="n">
        <f aca="false">COS(((I11*3.14)/180)-(($I$21*3.14)/180))^2</f>
        <v>0.0298518034304658</v>
      </c>
      <c r="Q11" s="1" t="s">
        <v>22</v>
      </c>
      <c r="R11" s="1" t="n">
        <v>65</v>
      </c>
      <c r="T11" s="1" t="s">
        <v>23</v>
      </c>
      <c r="U11" s="1" t="n">
        <f aca="false">TAN((R11*3.34)/180)</f>
        <v>2.61943748529391</v>
      </c>
      <c r="W11" s="0" t="s">
        <v>24</v>
      </c>
    </row>
    <row r="12" customFormat="false" ht="14.25" hidden="false" customHeight="false" outlineLevel="0" collapsed="false">
      <c r="A12" s="0" t="n">
        <v>100</v>
      </c>
      <c r="B12" s="3" t="n">
        <v>0.013</v>
      </c>
      <c r="C12" s="3" t="n">
        <v>0.018</v>
      </c>
      <c r="D12" s="1" t="n">
        <f aca="false">(B12+C12)/2</f>
        <v>0.0155</v>
      </c>
      <c r="E12" s="1" t="n">
        <f aca="false">D12/MAX($D$7:$D$37)</f>
        <v>0.0156962025316456</v>
      </c>
      <c r="F12" s="1" t="n">
        <f aca="false">COS(((A12*3.14)/180)-(($A$21*3.14)/180))^2</f>
        <v>6.34136230227258E-007</v>
      </c>
      <c r="I12" s="0" t="n">
        <v>100</v>
      </c>
      <c r="J12" s="0" t="n">
        <v>0.033</v>
      </c>
      <c r="K12" s="0" t="n">
        <v>0.032</v>
      </c>
      <c r="L12" s="1" t="n">
        <f aca="false">(J12+K12)/2</f>
        <v>0.0325</v>
      </c>
      <c r="M12" s="5" t="n">
        <f aca="false">L12/MAX($L$7:$L$37)</f>
        <v>0.328282828282828</v>
      </c>
      <c r="N12" s="1" t="n">
        <f aca="false">COS(((I12*3.14)/180)-(($I$21*3.14)/180))^2</f>
        <v>6.34136230227258E-007</v>
      </c>
      <c r="W12" s="0" t="n">
        <f aca="false">(((U11^2) - 1)^2)/(2*((U11^2)+1)^2 - ((U11^2) - 1)^2)</f>
        <v>0.384955762891437</v>
      </c>
    </row>
    <row r="13" customFormat="false" ht="14.25" hidden="false" customHeight="false" outlineLevel="0" collapsed="false">
      <c r="A13" s="0" t="n">
        <v>90</v>
      </c>
      <c r="B13" s="3" t="n">
        <v>0.012</v>
      </c>
      <c r="C13" s="3" t="n">
        <v>0.008</v>
      </c>
      <c r="D13" s="1" t="n">
        <f aca="false">(B13+C13)/2</f>
        <v>0.01</v>
      </c>
      <c r="E13" s="1" t="n">
        <f aca="false">D13/MAX($D$7:$D$37)</f>
        <v>0.010126582278481</v>
      </c>
      <c r="F13" s="1" t="n">
        <f aca="false">COS(((A13*3.14)/180)-(($A$21*3.14)/180))^2</f>
        <v>0.0303962579593651</v>
      </c>
      <c r="I13" s="0" t="n">
        <v>90</v>
      </c>
      <c r="J13" s="0" t="n">
        <v>0.034</v>
      </c>
      <c r="K13" s="0" t="n">
        <v>0.035</v>
      </c>
      <c r="L13" s="1" t="n">
        <f aca="false">(J13+K13)/2</f>
        <v>0.0345</v>
      </c>
      <c r="M13" s="5" t="n">
        <f aca="false">L13/MAX($L$7:$L$37)</f>
        <v>0.348484848484849</v>
      </c>
      <c r="N13" s="1" t="n">
        <f aca="false">COS(((I13*3.14)/180)-(($I$21*3.14)/180))^2</f>
        <v>0.0303962579593651</v>
      </c>
      <c r="Q13" s="1" t="s">
        <v>25</v>
      </c>
      <c r="R13" s="1" t="s">
        <v>12</v>
      </c>
      <c r="S13" s="1" t="s">
        <v>13</v>
      </c>
      <c r="T13" s="1" t="s">
        <v>14</v>
      </c>
    </row>
    <row r="14" customFormat="false" ht="14.25" hidden="false" customHeight="false" outlineLevel="0" collapsed="false">
      <c r="A14" s="0" t="n">
        <v>80</v>
      </c>
      <c r="B14" s="3" t="n">
        <v>0.059</v>
      </c>
      <c r="C14" s="3" t="n">
        <v>0.046</v>
      </c>
      <c r="D14" s="1" t="n">
        <f aca="false">(B14+C14)/2</f>
        <v>0.0525</v>
      </c>
      <c r="E14" s="1" t="n">
        <f aca="false">D14/MAX($D$7:$D$37)</f>
        <v>0.0531645569620253</v>
      </c>
      <c r="F14" s="1" t="n">
        <f aca="false">COS(((A14*3.14)/180)-(($A$21*3.14)/180))^2</f>
        <v>0.117376192534553</v>
      </c>
      <c r="I14" s="0" t="n">
        <v>80</v>
      </c>
      <c r="J14" s="0" t="n">
        <v>0.036</v>
      </c>
      <c r="K14" s="0" t="n">
        <v>0.033</v>
      </c>
      <c r="L14" s="1" t="n">
        <f aca="false">(J14+K14)/2</f>
        <v>0.0345</v>
      </c>
      <c r="M14" s="5" t="n">
        <f aca="false">L14/MAX($L$7:$L$37)</f>
        <v>0.348484848484849</v>
      </c>
      <c r="N14" s="1" t="n">
        <f aca="false">COS(((I14*3.14)/180)-(($I$21*3.14)/180))^2</f>
        <v>0.117376192534553</v>
      </c>
      <c r="Q14" s="0" t="n">
        <v>30</v>
      </c>
      <c r="R14" s="0" t="n">
        <v>0.244</v>
      </c>
      <c r="S14" s="0" t="n">
        <v>0.249</v>
      </c>
      <c r="T14" s="1" t="n">
        <f aca="false">(R14+S14)/2</f>
        <v>0.2465</v>
      </c>
    </row>
    <row r="15" customFormat="false" ht="14.25" hidden="false" customHeight="false" outlineLevel="0" collapsed="false">
      <c r="A15" s="0" t="n">
        <v>70</v>
      </c>
      <c r="B15" s="3" t="n">
        <v>0.152</v>
      </c>
      <c r="C15" s="3" t="n">
        <v>0.125</v>
      </c>
      <c r="D15" s="1" t="n">
        <f aca="false">(B15+C15)/2</f>
        <v>0.1385</v>
      </c>
      <c r="E15" s="1" t="n">
        <f aca="false">D15/MAX($D$7:$D$37)</f>
        <v>0.140253164556962</v>
      </c>
      <c r="F15" s="1" t="n">
        <f aca="false">COS(((A15*3.14)/180)-(($A$21*3.14)/180))^2</f>
        <v>0.25045990032219</v>
      </c>
      <c r="I15" s="0" t="n">
        <v>70</v>
      </c>
      <c r="J15" s="0" t="n">
        <v>0.043</v>
      </c>
      <c r="K15" s="0" t="n">
        <v>0.044</v>
      </c>
      <c r="L15" s="1" t="n">
        <f aca="false">(J15+K15)/2</f>
        <v>0.0435</v>
      </c>
      <c r="M15" s="5" t="n">
        <f aca="false">L15/MAX($L$7:$L$37)</f>
        <v>0.439393939393939</v>
      </c>
      <c r="N15" s="1" t="n">
        <f aca="false">COS(((I15*3.14)/180)-(($I$21*3.14)/180))^2</f>
        <v>0.25045990032219</v>
      </c>
      <c r="Q15" s="0" t="n">
        <v>32</v>
      </c>
      <c r="R15" s="0" t="n">
        <v>0.242</v>
      </c>
      <c r="S15" s="0" t="n">
        <v>0.24</v>
      </c>
      <c r="T15" s="1" t="n">
        <f aca="false">(R15+S15)/2</f>
        <v>0.241</v>
      </c>
      <c r="W15" s="0" t="s">
        <v>26</v>
      </c>
    </row>
    <row r="16" customFormat="false" ht="14.25" hidden="false" customHeight="false" outlineLevel="0" collapsed="false">
      <c r="A16" s="0" t="n">
        <v>60</v>
      </c>
      <c r="B16" s="3" t="n">
        <v>0.305</v>
      </c>
      <c r="C16" s="3" t="n">
        <v>0.246</v>
      </c>
      <c r="D16" s="1" t="n">
        <f aca="false">(B16+C16)/2</f>
        <v>0.2755</v>
      </c>
      <c r="E16" s="1" t="n">
        <f aca="false">D16/MAX($D$7:$D$37)</f>
        <v>0.278987341772152</v>
      </c>
      <c r="F16" s="1" t="n">
        <f aca="false">COS(((A16*3.14)/180)-(($A$21*3.14)/180))^2</f>
        <v>0.413611627763822</v>
      </c>
      <c r="I16" s="0" t="n">
        <v>60</v>
      </c>
      <c r="J16" s="0" t="n">
        <v>0.051</v>
      </c>
      <c r="K16" s="0" t="n">
        <v>0.053</v>
      </c>
      <c r="L16" s="1" t="n">
        <f aca="false">(J16+K16)/2</f>
        <v>0.052</v>
      </c>
      <c r="M16" s="5" t="n">
        <f aca="false">L16/MAX($L$7:$L$37)</f>
        <v>0.525252525252525</v>
      </c>
      <c r="N16" s="1" t="n">
        <f aca="false">COS(((I16*3.14)/180)-(($I$21*3.14)/180))^2</f>
        <v>0.413611627763822</v>
      </c>
      <c r="Q16" s="0" t="n">
        <v>34</v>
      </c>
      <c r="R16" s="0" t="n">
        <v>0.241</v>
      </c>
      <c r="S16" s="0" t="n">
        <v>0.241</v>
      </c>
      <c r="T16" s="1" t="n">
        <f aca="false">(R16+S16)/2</f>
        <v>0.241</v>
      </c>
      <c r="W16" s="0" t="n">
        <f aca="false">(MAX(T14:T31)-MIN(T14:T31))/(MAX(T14:T31)+MIN(T14:T31))</f>
        <v>0.776576576576577</v>
      </c>
    </row>
    <row r="17" customFormat="false" ht="14.25" hidden="false" customHeight="false" outlineLevel="0" collapsed="false">
      <c r="A17" s="0" t="n">
        <v>50</v>
      </c>
      <c r="B17" s="3" t="n">
        <v>0.454</v>
      </c>
      <c r="C17" s="3" t="n">
        <v>0.438</v>
      </c>
      <c r="D17" s="1" t="n">
        <f aca="false">(B17+C17)/2</f>
        <v>0.446</v>
      </c>
      <c r="E17" s="1" t="n">
        <f aca="false">D17/MAX($D$7:$D$37)</f>
        <v>0.451645569620253</v>
      </c>
      <c r="F17" s="1" t="n">
        <f aca="false">COS(((A17*3.14)/180)-(($A$21*3.14)/180))^2</f>
        <v>0.587172613186948</v>
      </c>
      <c r="I17" s="0" t="n">
        <v>50</v>
      </c>
      <c r="J17" s="0" t="n">
        <v>0.061</v>
      </c>
      <c r="K17" s="0" t="n">
        <v>0.064</v>
      </c>
      <c r="L17" s="1" t="n">
        <f aca="false">(J17+K17)/2</f>
        <v>0.0625</v>
      </c>
      <c r="M17" s="5" t="n">
        <f aca="false">L17/MAX($L$7:$L$37)</f>
        <v>0.631313131313131</v>
      </c>
      <c r="N17" s="1" t="n">
        <f aca="false">COS(((I17*3.14)/180)-(($I$21*3.14)/180))^2</f>
        <v>0.587172613186948</v>
      </c>
      <c r="Q17" s="0" t="n">
        <v>36</v>
      </c>
      <c r="R17" s="0" t="n">
        <v>0.234</v>
      </c>
      <c r="S17" s="0" t="n">
        <v>0.229</v>
      </c>
      <c r="T17" s="1" t="n">
        <f aca="false">(R17+S17)/2</f>
        <v>0.2315</v>
      </c>
    </row>
    <row r="18" customFormat="false" ht="14.25" hidden="false" customHeight="false" outlineLevel="0" collapsed="false">
      <c r="A18" s="0" t="n">
        <v>40</v>
      </c>
      <c r="B18" s="3" t="n">
        <v>0.601</v>
      </c>
      <c r="C18" s="3" t="n">
        <v>0.619</v>
      </c>
      <c r="D18" s="1" t="n">
        <f aca="false">(B18+C18)/2</f>
        <v>0.61</v>
      </c>
      <c r="E18" s="1" t="n">
        <f aca="false">D18/MAX($D$7:$D$37)</f>
        <v>0.617721518987342</v>
      </c>
      <c r="F18" s="1" t="n">
        <f aca="false">COS(((A18*3.14)/180)-(($A$21*3.14)/180))^2</f>
        <v>0.750229844504103</v>
      </c>
      <c r="I18" s="0" t="n">
        <v>40</v>
      </c>
      <c r="J18" s="0" t="n">
        <v>0.071</v>
      </c>
      <c r="K18" s="0" t="n">
        <v>0.076</v>
      </c>
      <c r="L18" s="1" t="n">
        <f aca="false">(J18+K18)/2</f>
        <v>0.0735</v>
      </c>
      <c r="M18" s="5" t="n">
        <f aca="false">L18/MAX($L$7:$L$37)</f>
        <v>0.742424242424242</v>
      </c>
      <c r="N18" s="1" t="n">
        <f aca="false">COS(((I18*3.14)/180)-(($I$21*3.14)/180))^2</f>
        <v>0.750229844504103</v>
      </c>
      <c r="Q18" s="0" t="n">
        <v>38</v>
      </c>
      <c r="R18" s="0" t="n">
        <v>0.221</v>
      </c>
      <c r="S18" s="0" t="n">
        <v>0.194</v>
      </c>
      <c r="T18" s="1" t="n">
        <f aca="false">(R18+S18)/2</f>
        <v>0.2075</v>
      </c>
    </row>
    <row r="19" customFormat="false" ht="14.25" hidden="false" customHeight="false" outlineLevel="0" collapsed="false">
      <c r="A19" s="0" t="n">
        <v>30</v>
      </c>
      <c r="B19" s="3" t="n">
        <v>0.751</v>
      </c>
      <c r="C19" s="3" t="n">
        <v>0.801</v>
      </c>
      <c r="D19" s="1" t="n">
        <f aca="false">(B19+C19)/2</f>
        <v>0.776</v>
      </c>
      <c r="E19" s="1" t="n">
        <f aca="false">D19/MAX($D$7:$D$37)</f>
        <v>0.785822784810127</v>
      </c>
      <c r="F19" s="1" t="n">
        <f aca="false">COS(((A19*3.14)/180)-(($A$21*3.14)/180))^2</f>
        <v>0.883135946234149</v>
      </c>
      <c r="I19" s="0" t="n">
        <v>30</v>
      </c>
      <c r="J19" s="0" t="n">
        <v>0.083</v>
      </c>
      <c r="K19" s="0" t="n">
        <v>0.084</v>
      </c>
      <c r="L19" s="1" t="n">
        <f aca="false">(J19+K19)/2</f>
        <v>0.0835</v>
      </c>
      <c r="M19" s="5" t="n">
        <f aca="false">L19/MAX($L$7:$L$37)</f>
        <v>0.843434343434343</v>
      </c>
      <c r="N19" s="1" t="n">
        <f aca="false">COS(((I19*3.14)/180)-(($I$21*3.14)/180))^2</f>
        <v>0.883135946234149</v>
      </c>
      <c r="Q19" s="0" t="n">
        <v>40</v>
      </c>
      <c r="R19" s="0" t="n">
        <v>0.174</v>
      </c>
      <c r="S19" s="0" t="n">
        <v>0.153</v>
      </c>
      <c r="T19" s="1" t="n">
        <f aca="false">(R19+S19)/2</f>
        <v>0.1635</v>
      </c>
    </row>
    <row r="20" customFormat="false" ht="14.25" hidden="false" customHeight="false" outlineLevel="0" collapsed="false">
      <c r="A20" s="0" t="n">
        <v>20</v>
      </c>
      <c r="B20" s="3" t="n">
        <v>0.935</v>
      </c>
      <c r="C20" s="3" t="n">
        <v>0.937</v>
      </c>
      <c r="D20" s="1" t="n">
        <f aca="false">(B20+C20)/2</f>
        <v>0.936</v>
      </c>
      <c r="E20" s="1" t="n">
        <f aca="false">D20/MAX($D$7:$D$37)</f>
        <v>0.947848101265823</v>
      </c>
      <c r="F20" s="1" t="n">
        <f aca="false">COS(((A20*3.14)/180)-(($A$21*3.14)/180))^2</f>
        <v>0.969876565236592</v>
      </c>
      <c r="I20" s="0" t="n">
        <v>20</v>
      </c>
      <c r="J20" s="0" t="n">
        <v>0.097</v>
      </c>
      <c r="K20" s="0" t="n">
        <v>0.098</v>
      </c>
      <c r="L20" s="1" t="n">
        <f aca="false">(J20+K20)/2</f>
        <v>0.0975</v>
      </c>
      <c r="M20" s="5" t="n">
        <f aca="false">L20/MAX($L$7:$L$37)</f>
        <v>0.984848484848485</v>
      </c>
      <c r="N20" s="1" t="n">
        <f aca="false">COS(((I20*3.14)/180)-(($I$21*3.14)/180))^2</f>
        <v>0.969876565236592</v>
      </c>
      <c r="Q20" s="0" t="n">
        <v>42</v>
      </c>
      <c r="R20" s="0" t="n">
        <v>0.102</v>
      </c>
      <c r="S20" s="0" t="n">
        <v>0.105</v>
      </c>
      <c r="T20" s="1" t="n">
        <f aca="false">(R20+S20)/2</f>
        <v>0.1035</v>
      </c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</row>
    <row r="21" customFormat="false" ht="14.25" hidden="false" customHeight="false" outlineLevel="0" collapsed="false">
      <c r="A21" s="0" t="n">
        <v>10</v>
      </c>
      <c r="B21" s="3" t="n">
        <v>0.981</v>
      </c>
      <c r="C21" s="3" t="n">
        <v>0.994</v>
      </c>
      <c r="D21" s="1" t="n">
        <f aca="false">(B21+C21)/2</f>
        <v>0.9875</v>
      </c>
      <c r="E21" s="1" t="n">
        <f aca="false">D21/MAX($D$7:$D$37)</f>
        <v>1</v>
      </c>
      <c r="F21" s="1" t="n">
        <f aca="false">COS(((A21*3.14)/180)-(($A$21*3.14)/180))^2</f>
        <v>1</v>
      </c>
      <c r="I21" s="0" t="n">
        <v>10</v>
      </c>
      <c r="J21" s="0" t="n">
        <v>0.099</v>
      </c>
      <c r="K21" s="0" t="n">
        <v>0.099</v>
      </c>
      <c r="L21" s="1" t="n">
        <f aca="false">(J21+K21)/2</f>
        <v>0.099</v>
      </c>
      <c r="M21" s="5" t="n">
        <f aca="false">L21/MAX($L$7:$L$37)</f>
        <v>1</v>
      </c>
      <c r="N21" s="1" t="n">
        <f aca="false">COS(((I21*3.14)/180)-(($I$21*3.14)/180))^2</f>
        <v>1</v>
      </c>
      <c r="Q21" s="0" t="n">
        <v>44</v>
      </c>
      <c r="R21" s="0" t="n">
        <v>0.07</v>
      </c>
      <c r="S21" s="0" t="n">
        <v>0.066</v>
      </c>
      <c r="T21" s="1" t="n">
        <f aca="false">(R21+S21)/2</f>
        <v>0.068</v>
      </c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</row>
    <row r="22" customFormat="false" ht="14.25" hidden="false" customHeight="false" outlineLevel="0" collapsed="false">
      <c r="A22" s="0" t="n">
        <v>0</v>
      </c>
      <c r="B22" s="3" t="n">
        <v>0.983</v>
      </c>
      <c r="C22" s="3" t="n">
        <v>0.983</v>
      </c>
      <c r="D22" s="1" t="n">
        <f aca="false">(B22+C22)/2</f>
        <v>0.983</v>
      </c>
      <c r="E22" s="1" t="n">
        <f aca="false">D22/MAX($D$7:$D$37)</f>
        <v>0.995443037974684</v>
      </c>
      <c r="F22" s="1" t="n">
        <f aca="false">COS(((A22*3.14)/180)-(($A$21*3.14)/180))^2</f>
        <v>0.969876565236592</v>
      </c>
      <c r="I22" s="0" t="n">
        <v>0</v>
      </c>
      <c r="J22" s="0" t="n">
        <v>0.093</v>
      </c>
      <c r="K22" s="0" t="n">
        <v>0.092</v>
      </c>
      <c r="L22" s="1" t="n">
        <f aca="false">(J22+K22)/2</f>
        <v>0.0925</v>
      </c>
      <c r="M22" s="5" t="n">
        <f aca="false">L22/MAX($L$7:$L$37)</f>
        <v>0.934343434343434</v>
      </c>
      <c r="N22" s="1" t="n">
        <f aca="false">COS(((I22*3.14)/180)-(($I$21*3.14)/180))^2</f>
        <v>0.969876565236592</v>
      </c>
      <c r="Q22" s="0" t="n">
        <v>46</v>
      </c>
      <c r="R22" s="0" t="n">
        <v>0.05</v>
      </c>
      <c r="S22" s="0" t="n">
        <v>0.053</v>
      </c>
      <c r="T22" s="1" t="n">
        <f aca="false">(R22+S22)/2</f>
        <v>0.0515</v>
      </c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</row>
    <row r="23" customFormat="false" ht="14.25" hidden="false" customHeight="false" outlineLevel="0" collapsed="false">
      <c r="A23" s="0" t="n">
        <v>10</v>
      </c>
      <c r="B23" s="3" t="n">
        <v>0.888</v>
      </c>
      <c r="C23" s="3" t="n">
        <v>0.895</v>
      </c>
      <c r="D23" s="1" t="n">
        <f aca="false">(B23+C23)/2</f>
        <v>0.8915</v>
      </c>
      <c r="E23" s="1" t="n">
        <f aca="false">D23/MAX($D$7:$D$37)</f>
        <v>0.902784810126582</v>
      </c>
      <c r="F23" s="1" t="n">
        <f aca="false">COS(((A23*3.14)/180)-(($A$21*3.14)/180))^2</f>
        <v>1</v>
      </c>
      <c r="I23" s="0" t="n">
        <v>10</v>
      </c>
      <c r="J23" s="0" t="n">
        <v>0.088</v>
      </c>
      <c r="K23" s="0" t="n">
        <v>0.086</v>
      </c>
      <c r="L23" s="1" t="n">
        <f aca="false">(J23+K23)/2</f>
        <v>0.087</v>
      </c>
      <c r="M23" s="5" t="n">
        <f aca="false">L23/MAX($L$7:$L$37)</f>
        <v>0.878787878787879</v>
      </c>
      <c r="N23" s="1" t="n">
        <f aca="false">COS(((I23*3.14)/180)-(($I$21*3.14)/180))^2</f>
        <v>1</v>
      </c>
      <c r="Q23" s="0" t="n">
        <v>48</v>
      </c>
      <c r="R23" s="0" t="n">
        <v>0.041</v>
      </c>
      <c r="S23" s="0" t="n">
        <v>0.043</v>
      </c>
      <c r="T23" s="1" t="n">
        <f aca="false">(R23+S23)/2</f>
        <v>0.042</v>
      </c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</row>
    <row r="24" customFormat="false" ht="14.25" hidden="false" customHeight="false" outlineLevel="0" collapsed="false">
      <c r="A24" s="0" t="n">
        <v>20</v>
      </c>
      <c r="B24" s="3" t="n">
        <v>0.785</v>
      </c>
      <c r="C24" s="3" t="n">
        <v>0.782</v>
      </c>
      <c r="D24" s="1" t="n">
        <f aca="false">(B24+C24)/2</f>
        <v>0.7835</v>
      </c>
      <c r="E24" s="1" t="n">
        <f aca="false">D24/MAX($D$7:$D$37)</f>
        <v>0.793417721518987</v>
      </c>
      <c r="F24" s="1" t="n">
        <f aca="false">COS(((A24*3.14)/180)-(($A$21*3.14)/180))^2</f>
        <v>0.969876565236592</v>
      </c>
      <c r="I24" s="0" t="n">
        <v>20</v>
      </c>
      <c r="J24" s="0" t="n">
        <v>0.083</v>
      </c>
      <c r="K24" s="0" t="n">
        <v>0.081</v>
      </c>
      <c r="L24" s="1" t="n">
        <f aca="false">(J24+K24)/2</f>
        <v>0.082</v>
      </c>
      <c r="M24" s="5" t="n">
        <f aca="false">L24/MAX($L$7:$L$37)</f>
        <v>0.828282828282828</v>
      </c>
      <c r="N24" s="1" t="n">
        <f aca="false">COS(((I24*3.14)/180)-(($I$21*3.14)/180))^2</f>
        <v>0.969876565236592</v>
      </c>
      <c r="Q24" s="0" t="n">
        <v>50</v>
      </c>
      <c r="R24" s="0" t="n">
        <v>0.038</v>
      </c>
      <c r="S24" s="0" t="n">
        <v>0.038</v>
      </c>
      <c r="T24" s="1" t="n">
        <f aca="false">(R24+S24)/2</f>
        <v>0.038</v>
      </c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</row>
    <row r="25" customFormat="false" ht="14.25" hidden="false" customHeight="false" outlineLevel="0" collapsed="false">
      <c r="A25" s="0" t="n">
        <v>30</v>
      </c>
      <c r="B25" s="3" t="n">
        <v>0.649</v>
      </c>
      <c r="C25" s="3" t="n">
        <v>0.62</v>
      </c>
      <c r="D25" s="1" t="n">
        <f aca="false">(B25+C25)/2</f>
        <v>0.6345</v>
      </c>
      <c r="E25" s="1" t="n">
        <f aca="false">D25/MAX($D$7:$D$37)</f>
        <v>0.64253164556962</v>
      </c>
      <c r="F25" s="1" t="n">
        <f aca="false">COS(((A25*3.14)/180)-(($A$21*3.14)/180))^2</f>
        <v>0.883135946234149</v>
      </c>
      <c r="I25" s="0" t="n">
        <v>30</v>
      </c>
      <c r="J25" s="0" t="n">
        <v>0.074</v>
      </c>
      <c r="K25" s="0" t="n">
        <v>0.075</v>
      </c>
      <c r="L25" s="1" t="n">
        <f aca="false">(J25+K25)/2</f>
        <v>0.0745</v>
      </c>
      <c r="M25" s="5" t="n">
        <f aca="false">L25/MAX($L$7:$L$37)</f>
        <v>0.752525252525253</v>
      </c>
      <c r="N25" s="1" t="n">
        <f aca="false">COS(((I25*3.14)/180)-(($I$21*3.14)/180))^2</f>
        <v>0.883135946234149</v>
      </c>
      <c r="Q25" s="0" t="n">
        <v>52</v>
      </c>
      <c r="R25" s="0" t="n">
        <v>0.037</v>
      </c>
      <c r="S25" s="0" t="n">
        <v>0.037</v>
      </c>
      <c r="T25" s="1" t="n">
        <f aca="false">(R25+S25)/2</f>
        <v>0.037</v>
      </c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</row>
    <row r="26" customFormat="false" ht="14.25" hidden="false" customHeight="false" outlineLevel="0" collapsed="false">
      <c r="A26" s="0" t="n">
        <v>40</v>
      </c>
      <c r="B26" s="3" t="n">
        <v>0.471</v>
      </c>
      <c r="C26" s="3" t="n">
        <v>0.411</v>
      </c>
      <c r="D26" s="1" t="n">
        <f aca="false">(B26+C26)/2</f>
        <v>0.441</v>
      </c>
      <c r="E26" s="1" t="n">
        <f aca="false">D26/MAX($D$7:$D$37)</f>
        <v>0.446582278481013</v>
      </c>
      <c r="F26" s="1" t="n">
        <f aca="false">COS(((A26*3.14)/180)-(($A$21*3.14)/180))^2</f>
        <v>0.750229844504103</v>
      </c>
      <c r="I26" s="0" t="n">
        <v>40</v>
      </c>
      <c r="J26" s="0" t="n">
        <v>0.061</v>
      </c>
      <c r="K26" s="0" t="n">
        <v>0.063</v>
      </c>
      <c r="L26" s="1" t="n">
        <f aca="false">(J26+K26)/2</f>
        <v>0.062</v>
      </c>
      <c r="M26" s="5" t="n">
        <f aca="false">L26/MAX($L$7:$L$37)</f>
        <v>0.626262626262626</v>
      </c>
      <c r="N26" s="1" t="n">
        <f aca="false">COS(((I26*3.14)/180)-(($I$21*3.14)/180))^2</f>
        <v>0.750229844504103</v>
      </c>
      <c r="Q26" s="0" t="n">
        <v>54</v>
      </c>
      <c r="R26" s="0" t="n">
        <v>0.032</v>
      </c>
      <c r="S26" s="0" t="n">
        <v>0.034</v>
      </c>
      <c r="T26" s="1" t="n">
        <f aca="false">(R26+S26)/2</f>
        <v>0.033</v>
      </c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</row>
    <row r="27" customFormat="false" ht="14.25" hidden="false" customHeight="false" outlineLevel="0" collapsed="false">
      <c r="A27" s="0" t="n">
        <v>50</v>
      </c>
      <c r="B27" s="3" t="n">
        <v>0.331</v>
      </c>
      <c r="C27" s="3" t="n">
        <v>0.314</v>
      </c>
      <c r="D27" s="1" t="n">
        <f aca="false">(B27+C27)/2</f>
        <v>0.3225</v>
      </c>
      <c r="E27" s="1" t="n">
        <f aca="false">D27/MAX($D$7:$D$37)</f>
        <v>0.326582278481013</v>
      </c>
      <c r="F27" s="1" t="n">
        <f aca="false">COS(((A27*3.14)/180)-(($A$21*3.14)/180))^2</f>
        <v>0.587172613186948</v>
      </c>
      <c r="I27" s="0" t="n">
        <v>50</v>
      </c>
      <c r="J27" s="0" t="n">
        <v>0.051</v>
      </c>
      <c r="K27" s="0" t="n">
        <v>0.049</v>
      </c>
      <c r="L27" s="1" t="n">
        <f aca="false">(J27+K27)/2</f>
        <v>0.05</v>
      </c>
      <c r="M27" s="5" t="n">
        <f aca="false">L27/MAX($L$7:$L$37)</f>
        <v>0.505050505050505</v>
      </c>
      <c r="N27" s="1" t="n">
        <f aca="false">COS(((I27*3.14)/180)-(($I$21*3.14)/180))^2</f>
        <v>0.587172613186948</v>
      </c>
      <c r="Q27" s="0" t="n">
        <v>56</v>
      </c>
      <c r="R27" s="0" t="n">
        <v>0.03</v>
      </c>
      <c r="S27" s="0" t="n">
        <v>0.032</v>
      </c>
      <c r="T27" s="1" t="n">
        <f aca="false">(R27+S27)/2</f>
        <v>0.031</v>
      </c>
      <c r="AB27" s="6"/>
      <c r="AC27" s="6"/>
      <c r="AD27" s="6"/>
      <c r="AE27" s="7"/>
      <c r="AF27" s="7"/>
      <c r="AG27" s="7"/>
      <c r="AH27" s="7"/>
      <c r="AI27" s="6"/>
      <c r="AJ27" s="6"/>
      <c r="AK27" s="6"/>
      <c r="AL27" s="7"/>
      <c r="AM27" s="7"/>
      <c r="AN27" s="6"/>
      <c r="AO27" s="6"/>
      <c r="AP27" s="6"/>
      <c r="AQ27" s="6"/>
      <c r="AR27" s="6"/>
      <c r="AS27" s="6"/>
      <c r="AT27" s="6"/>
      <c r="AU27" s="6"/>
    </row>
    <row r="28" customFormat="false" ht="14.25" hidden="false" customHeight="false" outlineLevel="0" collapsed="false">
      <c r="A28" s="0" t="n">
        <v>60</v>
      </c>
      <c r="B28" s="3" t="n">
        <v>0.192</v>
      </c>
      <c r="C28" s="3" t="n">
        <v>0.181</v>
      </c>
      <c r="D28" s="1" t="n">
        <f aca="false">(B28+C28)/2</f>
        <v>0.1865</v>
      </c>
      <c r="E28" s="1" t="n">
        <f aca="false">D28/MAX($D$7:$D$37)</f>
        <v>0.188860759493671</v>
      </c>
      <c r="F28" s="1" t="n">
        <f aca="false">COS(((A28*3.14)/180)-(($A$21*3.14)/180))^2</f>
        <v>0.413611627763822</v>
      </c>
      <c r="I28" s="0" t="n">
        <v>60</v>
      </c>
      <c r="J28" s="0" t="n">
        <v>0.043</v>
      </c>
      <c r="K28" s="0" t="n">
        <v>0.044</v>
      </c>
      <c r="L28" s="1" t="n">
        <f aca="false">(J28+K28)/2</f>
        <v>0.0435</v>
      </c>
      <c r="M28" s="5" t="n">
        <f aca="false">L28/MAX($L$7:$L$37)</f>
        <v>0.439393939393939</v>
      </c>
      <c r="N28" s="1" t="n">
        <f aca="false">COS(((I28*3.14)/180)-(($I$21*3.14)/180))^2</f>
        <v>0.413611627763822</v>
      </c>
      <c r="Q28" s="1"/>
      <c r="R28" s="1"/>
      <c r="S28" s="1"/>
      <c r="T28" s="1"/>
      <c r="AB28" s="6"/>
      <c r="AC28" s="6"/>
      <c r="AD28" s="6"/>
      <c r="AE28" s="7"/>
      <c r="AF28" s="7"/>
      <c r="AG28" s="7"/>
      <c r="AH28" s="7"/>
      <c r="AI28" s="6"/>
      <c r="AJ28" s="6"/>
      <c r="AK28" s="6"/>
      <c r="AL28" s="7"/>
      <c r="AM28" s="7"/>
      <c r="AN28" s="6"/>
      <c r="AO28" s="6"/>
      <c r="AP28" s="6"/>
      <c r="AQ28" s="6"/>
      <c r="AR28" s="6"/>
      <c r="AS28" s="6"/>
      <c r="AT28" s="6"/>
      <c r="AU28" s="6"/>
    </row>
    <row r="29" customFormat="false" ht="14.25" hidden="false" customHeight="false" outlineLevel="0" collapsed="false">
      <c r="A29" s="0" t="n">
        <v>70</v>
      </c>
      <c r="B29" s="3" t="n">
        <v>0.075</v>
      </c>
      <c r="C29" s="3" t="n">
        <v>0.073</v>
      </c>
      <c r="D29" s="1" t="n">
        <f aca="false">(B29+C29)/2</f>
        <v>0.074</v>
      </c>
      <c r="E29" s="1" t="n">
        <f aca="false">D29/MAX($D$7:$D$37)</f>
        <v>0.0749367088607595</v>
      </c>
      <c r="F29" s="1" t="n">
        <f aca="false">COS(((A29*3.14)/180)-(($A$21*3.14)/180))^2</f>
        <v>0.25045990032219</v>
      </c>
      <c r="I29" s="0" t="n">
        <v>70</v>
      </c>
      <c r="J29" s="0" t="n">
        <v>0.036</v>
      </c>
      <c r="K29" s="0" t="n">
        <v>0.039</v>
      </c>
      <c r="L29" s="1" t="n">
        <f aca="false">(J29+K29)/2</f>
        <v>0.0375</v>
      </c>
      <c r="M29" s="5" t="n">
        <f aca="false">L29/MAX($L$7:$L$37)</f>
        <v>0.378787878787879</v>
      </c>
      <c r="N29" s="1" t="n">
        <f aca="false">COS(((I29*3.14)/180)-(($I$21*3.14)/180))^2</f>
        <v>0.25045990032219</v>
      </c>
      <c r="Q29" s="1"/>
      <c r="R29" s="1"/>
      <c r="S29" s="1"/>
      <c r="T29" s="1"/>
      <c r="AB29" s="6"/>
      <c r="AC29" s="6"/>
      <c r="AD29" s="6"/>
      <c r="AE29" s="7"/>
      <c r="AF29" s="7"/>
      <c r="AG29" s="7"/>
      <c r="AH29" s="7"/>
      <c r="AI29" s="6"/>
      <c r="AJ29" s="6"/>
      <c r="AK29" s="6"/>
      <c r="AL29" s="7"/>
      <c r="AM29" s="7"/>
      <c r="AN29" s="6"/>
      <c r="AO29" s="6"/>
      <c r="AP29" s="6"/>
      <c r="AQ29" s="6"/>
      <c r="AR29" s="6"/>
      <c r="AS29" s="6"/>
      <c r="AT29" s="6"/>
      <c r="AU29" s="6"/>
    </row>
    <row r="30" customFormat="false" ht="14.25" hidden="false" customHeight="false" outlineLevel="0" collapsed="false">
      <c r="A30" s="0" t="n">
        <v>80</v>
      </c>
      <c r="B30" s="3" t="n">
        <v>0.012</v>
      </c>
      <c r="C30" s="3" t="n">
        <v>0.011</v>
      </c>
      <c r="D30" s="1" t="n">
        <f aca="false">(B30+C30)/2</f>
        <v>0.0115</v>
      </c>
      <c r="E30" s="1" t="n">
        <f aca="false">D30/MAX($D$7:$D$37)</f>
        <v>0.0116455696202532</v>
      </c>
      <c r="F30" s="1" t="n">
        <f aca="false">COS(((A30*3.14)/180)-(($A$21*3.14)/180))^2</f>
        <v>0.117376192534553</v>
      </c>
      <c r="I30" s="0" t="n">
        <v>80</v>
      </c>
      <c r="J30" s="0" t="n">
        <v>0.029</v>
      </c>
      <c r="K30" s="0" t="n">
        <v>0.031</v>
      </c>
      <c r="L30" s="1" t="n">
        <f aca="false">(J30+K30)/2</f>
        <v>0.03</v>
      </c>
      <c r="M30" s="5" t="n">
        <f aca="false">L30/MAX($L$7:$L$37)</f>
        <v>0.303030303030303</v>
      </c>
      <c r="N30" s="1" t="n">
        <f aca="false">COS(((I30*3.14)/180)-(($I$21*3.14)/180))^2</f>
        <v>0.117376192534553</v>
      </c>
      <c r="Q30" s="1"/>
      <c r="R30" s="1"/>
      <c r="S30" s="1"/>
      <c r="T30" s="1"/>
      <c r="AB30" s="6"/>
      <c r="AC30" s="6"/>
      <c r="AD30" s="6"/>
      <c r="AE30" s="7"/>
      <c r="AF30" s="7"/>
      <c r="AG30" s="7"/>
      <c r="AH30" s="7"/>
      <c r="AI30" s="6"/>
      <c r="AJ30" s="6"/>
      <c r="AK30" s="6"/>
      <c r="AL30" s="7"/>
      <c r="AM30" s="7"/>
      <c r="AN30" s="6"/>
      <c r="AO30" s="6"/>
      <c r="AP30" s="6"/>
      <c r="AQ30" s="6"/>
      <c r="AR30" s="6"/>
      <c r="AS30" s="6"/>
      <c r="AT30" s="6"/>
      <c r="AU30" s="6"/>
    </row>
    <row r="31" customFormat="false" ht="14.25" hidden="false" customHeight="false" outlineLevel="0" collapsed="false">
      <c r="A31" s="0" t="n">
        <v>90</v>
      </c>
      <c r="B31" s="3" t="n">
        <v>0.009</v>
      </c>
      <c r="C31" s="3" t="n">
        <v>0.008</v>
      </c>
      <c r="D31" s="1" t="n">
        <f aca="false">(B31+C31)/2</f>
        <v>0.0085</v>
      </c>
      <c r="E31" s="1" t="n">
        <f aca="false">D31/MAX($D$7:$D$37)</f>
        <v>0.00860759493670886</v>
      </c>
      <c r="F31" s="1" t="n">
        <f aca="false">COS(((A31*3.14)/180)-(($A$21*3.14)/180))^2</f>
        <v>0.0303962579593651</v>
      </c>
      <c r="I31" s="0" t="n">
        <v>90</v>
      </c>
      <c r="J31" s="0" t="n">
        <v>0.03</v>
      </c>
      <c r="K31" s="0" t="n">
        <v>0.029</v>
      </c>
      <c r="L31" s="1" t="n">
        <f aca="false">(J31+K31)/2</f>
        <v>0.0295</v>
      </c>
      <c r="M31" s="5" t="n">
        <f aca="false">L31/MAX($L$7:$L$37)</f>
        <v>0.297979797979798</v>
      </c>
      <c r="N31" s="1" t="n">
        <f aca="false">COS(((I31*3.14)/180)-(($I$21*3.14)/180))^2</f>
        <v>0.0303962579593651</v>
      </c>
      <c r="Q31" s="1"/>
      <c r="R31" s="1"/>
      <c r="S31" s="1"/>
      <c r="T31" s="1"/>
      <c r="AB31" s="6"/>
      <c r="AC31" s="6"/>
      <c r="AD31" s="6"/>
      <c r="AE31" s="7"/>
      <c r="AF31" s="7"/>
      <c r="AG31" s="7"/>
      <c r="AH31" s="7"/>
      <c r="AI31" s="6"/>
      <c r="AJ31" s="6"/>
      <c r="AK31" s="6"/>
      <c r="AL31" s="7"/>
      <c r="AM31" s="7"/>
      <c r="AN31" s="6"/>
      <c r="AO31" s="6"/>
      <c r="AP31" s="6"/>
      <c r="AQ31" s="6"/>
      <c r="AR31" s="6"/>
      <c r="AS31" s="6"/>
      <c r="AT31" s="6"/>
      <c r="AU31" s="6"/>
    </row>
    <row r="32" customFormat="false" ht="14.25" hidden="false" customHeight="false" outlineLevel="0" collapsed="false">
      <c r="A32" s="0" t="n">
        <v>100</v>
      </c>
      <c r="B32" s="3" t="n">
        <v>0.049</v>
      </c>
      <c r="C32" s="3" t="n">
        <v>0.043</v>
      </c>
      <c r="D32" s="1" t="n">
        <f aca="false">(B32+C32)/2</f>
        <v>0.046</v>
      </c>
      <c r="E32" s="1" t="n">
        <f aca="false">D32/MAX($D$7:$D$37)</f>
        <v>0.0465822784810127</v>
      </c>
      <c r="F32" s="1" t="n">
        <f aca="false">COS(((A32*3.14)/180)-(($A$21*3.14)/180))^2</f>
        <v>6.34136230227258E-007</v>
      </c>
      <c r="I32" s="0" t="n">
        <v>100</v>
      </c>
      <c r="J32" s="0" t="n">
        <v>0.031</v>
      </c>
      <c r="K32" s="0" t="n">
        <v>0.032</v>
      </c>
      <c r="L32" s="1" t="n">
        <f aca="false">(J32+K32)/2</f>
        <v>0.0315</v>
      </c>
      <c r="M32" s="5" t="n">
        <f aca="false">L32/MAX($L$7:$L$37)</f>
        <v>0.318181818181818</v>
      </c>
      <c r="N32" s="1" t="n">
        <f aca="false">COS(((I32*3.14)/180)-(($I$21*3.14)/180))^2</f>
        <v>6.34136230227258E-007</v>
      </c>
      <c r="AB32" s="6"/>
      <c r="AC32" s="6"/>
      <c r="AD32" s="6"/>
      <c r="AE32" s="7"/>
      <c r="AF32" s="7"/>
      <c r="AG32" s="7"/>
      <c r="AH32" s="7"/>
      <c r="AI32" s="6"/>
      <c r="AJ32" s="6"/>
      <c r="AK32" s="6"/>
      <c r="AL32" s="7"/>
      <c r="AM32" s="7"/>
      <c r="AN32" s="6"/>
      <c r="AO32" s="6"/>
      <c r="AP32" s="6"/>
      <c r="AQ32" s="6"/>
      <c r="AR32" s="6"/>
      <c r="AS32" s="6"/>
      <c r="AT32" s="6"/>
      <c r="AU32" s="6"/>
    </row>
    <row r="33" customFormat="false" ht="14.25" hidden="false" customHeight="false" outlineLevel="0" collapsed="false">
      <c r="A33" s="0" t="n">
        <v>110</v>
      </c>
      <c r="B33" s="3" t="n">
        <v>0.148</v>
      </c>
      <c r="C33" s="3" t="n">
        <v>0.153</v>
      </c>
      <c r="D33" s="1" t="n">
        <f aca="false">(B33+C33)/2</f>
        <v>0.1505</v>
      </c>
      <c r="E33" s="1" t="n">
        <f aca="false">D33/MAX($D$7:$D$37)</f>
        <v>0.152405063291139</v>
      </c>
      <c r="F33" s="1" t="n">
        <f aca="false">COS(((A33*3.14)/180)-(($A$21*3.14)/180))^2</f>
        <v>0.0298518034304658</v>
      </c>
      <c r="I33" s="0" t="n">
        <v>110</v>
      </c>
      <c r="J33" s="0" t="n">
        <v>0.037</v>
      </c>
      <c r="K33" s="0" t="n">
        <v>0.038</v>
      </c>
      <c r="L33" s="1" t="n">
        <f aca="false">(J33+K33)/2</f>
        <v>0.0375</v>
      </c>
      <c r="M33" s="5" t="n">
        <f aca="false">L33/MAX($L$7:$L$37)</f>
        <v>0.378787878787879</v>
      </c>
      <c r="N33" s="1" t="n">
        <f aca="false">COS(((I33*3.14)/180)-(($I$21*3.14)/180))^2</f>
        <v>0.0298518034304658</v>
      </c>
      <c r="AB33" s="6"/>
      <c r="AC33" s="6"/>
      <c r="AD33" s="6"/>
      <c r="AE33" s="7"/>
      <c r="AF33" s="7"/>
      <c r="AG33" s="7"/>
      <c r="AH33" s="7"/>
      <c r="AI33" s="6"/>
      <c r="AJ33" s="6"/>
      <c r="AK33" s="6"/>
      <c r="AL33" s="7"/>
      <c r="AM33" s="7"/>
      <c r="AN33" s="6"/>
      <c r="AO33" s="6"/>
      <c r="AP33" s="6"/>
      <c r="AQ33" s="6"/>
      <c r="AR33" s="6"/>
      <c r="AS33" s="6"/>
      <c r="AT33" s="6"/>
      <c r="AU33" s="6"/>
    </row>
    <row r="34" customFormat="false" ht="14.25" hidden="false" customHeight="false" outlineLevel="0" collapsed="false">
      <c r="A34" s="0" t="n">
        <v>120</v>
      </c>
      <c r="B34" s="3" t="n">
        <v>0.321</v>
      </c>
      <c r="C34" s="3" t="n">
        <v>0.311</v>
      </c>
      <c r="D34" s="1" t="n">
        <f aca="false">(B34+C34)/2</f>
        <v>0.316</v>
      </c>
      <c r="E34" s="1" t="n">
        <f aca="false">D34/MAX($D$7:$D$37)</f>
        <v>0.32</v>
      </c>
      <c r="F34" s="1" t="n">
        <f aca="false">COS(((A34*3.14)/180)-(($A$21*3.14)/180))^2</f>
        <v>0.116352886838686</v>
      </c>
      <c r="I34" s="0" t="n">
        <v>120</v>
      </c>
      <c r="J34" s="0" t="n">
        <v>0.049</v>
      </c>
      <c r="K34" s="0" t="n">
        <v>0.046</v>
      </c>
      <c r="L34" s="1" t="n">
        <f aca="false">(J34+K34)/2</f>
        <v>0.0475</v>
      </c>
      <c r="M34" s="5" t="n">
        <f aca="false">L34/MAX($L$7:$L$37)</f>
        <v>0.47979797979798</v>
      </c>
      <c r="N34" s="1" t="n">
        <f aca="false">COS(((I34*3.14)/180)-(($I$21*3.14)/180))^2</f>
        <v>0.116352886838686</v>
      </c>
      <c r="AB34" s="6"/>
      <c r="AC34" s="6"/>
      <c r="AD34" s="6"/>
      <c r="AE34" s="7"/>
      <c r="AF34" s="7"/>
      <c r="AG34" s="7"/>
      <c r="AH34" s="7"/>
      <c r="AI34" s="6"/>
      <c r="AJ34" s="6"/>
      <c r="AK34" s="6"/>
      <c r="AL34" s="7"/>
      <c r="AM34" s="7"/>
      <c r="AN34" s="6"/>
      <c r="AO34" s="6"/>
      <c r="AP34" s="6"/>
      <c r="AQ34" s="6"/>
      <c r="AR34" s="6"/>
      <c r="AS34" s="6"/>
      <c r="AT34" s="6"/>
      <c r="AU34" s="6"/>
    </row>
    <row r="35" customFormat="false" ht="14.25" hidden="false" customHeight="false" outlineLevel="0" collapsed="false">
      <c r="A35" s="0" t="n">
        <v>130</v>
      </c>
      <c r="B35" s="3" t="n">
        <v>0.483</v>
      </c>
      <c r="C35" s="3" t="n">
        <v>0.481</v>
      </c>
      <c r="D35" s="1" t="n">
        <f aca="false">(B35+C35)/2</f>
        <v>0.482</v>
      </c>
      <c r="E35" s="1" t="n">
        <f aca="false">D35/MAX($D$7:$D$37)</f>
        <v>0.488101265822785</v>
      </c>
      <c r="F35" s="1" t="n">
        <f aca="false">COS(((A35*3.14)/180)-(($A$21*3.14)/180))^2</f>
        <v>0.249081045388845</v>
      </c>
      <c r="I35" s="0" t="n">
        <v>130</v>
      </c>
      <c r="J35" s="0" t="n">
        <v>0.062</v>
      </c>
      <c r="K35" s="0" t="n">
        <v>0.067</v>
      </c>
      <c r="L35" s="1" t="n">
        <f aca="false">(J35+K35)/2</f>
        <v>0.0645</v>
      </c>
      <c r="M35" s="5" t="n">
        <f aca="false">L35/MAX($L$7:$L$37)</f>
        <v>0.651515151515152</v>
      </c>
      <c r="N35" s="1" t="n">
        <f aca="false">COS(((I35*3.14)/180)-(($I$21*3.14)/180))^2</f>
        <v>0.249081045388845</v>
      </c>
      <c r="AB35" s="6"/>
      <c r="AC35" s="6"/>
      <c r="AD35" s="6"/>
      <c r="AE35" s="7"/>
      <c r="AF35" s="7"/>
      <c r="AG35" s="7"/>
      <c r="AH35" s="7"/>
      <c r="AI35" s="6"/>
      <c r="AJ35" s="6"/>
      <c r="AK35" s="6"/>
      <c r="AL35" s="7"/>
      <c r="AM35" s="7"/>
      <c r="AN35" s="6"/>
      <c r="AO35" s="6"/>
      <c r="AP35" s="6"/>
      <c r="AQ35" s="6"/>
      <c r="AR35" s="6"/>
      <c r="AS35" s="6"/>
      <c r="AT35" s="6"/>
      <c r="AU35" s="6"/>
    </row>
    <row r="36" customFormat="false" ht="14.25" hidden="false" customHeight="false" outlineLevel="0" collapsed="false">
      <c r="A36" s="0" t="n">
        <v>140</v>
      </c>
      <c r="B36" s="3" t="n">
        <v>0.701</v>
      </c>
      <c r="C36" s="3" t="n">
        <v>0.689</v>
      </c>
      <c r="D36" s="1" t="n">
        <f aca="false">(B36+C36)/2</f>
        <v>0.695</v>
      </c>
      <c r="E36" s="1" t="n">
        <f aca="false">D36/MAX($D$7:$D$37)</f>
        <v>0.70379746835443</v>
      </c>
      <c r="F36" s="1" t="n">
        <f aca="false">COS(((A36*3.14)/180)-(($A$21*3.14)/180))^2</f>
        <v>0.412043366979531</v>
      </c>
      <c r="I36" s="0" t="n">
        <v>140</v>
      </c>
      <c r="J36" s="0" t="n">
        <v>0.077</v>
      </c>
      <c r="K36" s="0" t="n">
        <v>0.082</v>
      </c>
      <c r="L36" s="1" t="n">
        <f aca="false">(J36+K36)/2</f>
        <v>0.0795</v>
      </c>
      <c r="M36" s="5" t="n">
        <f aca="false">L36/MAX($L$7:$L$37)</f>
        <v>0.803030303030303</v>
      </c>
      <c r="N36" s="1" t="n">
        <f aca="false">COS(((I36*3.14)/180)-(($I$21*3.14)/180))^2</f>
        <v>0.412043366979531</v>
      </c>
      <c r="AB36" s="6"/>
      <c r="AC36" s="6"/>
      <c r="AD36" s="6"/>
      <c r="AE36" s="7"/>
      <c r="AF36" s="7"/>
      <c r="AG36" s="7"/>
      <c r="AH36" s="7"/>
      <c r="AI36" s="6"/>
      <c r="AJ36" s="6"/>
      <c r="AK36" s="6"/>
      <c r="AL36" s="7"/>
      <c r="AM36" s="7"/>
      <c r="AN36" s="6"/>
      <c r="AO36" s="6"/>
      <c r="AP36" s="6"/>
      <c r="AQ36" s="6"/>
      <c r="AR36" s="6"/>
      <c r="AS36" s="6"/>
      <c r="AT36" s="6"/>
      <c r="AU36" s="6"/>
    </row>
    <row r="37" customFormat="false" ht="14.25" hidden="false" customHeight="false" outlineLevel="0" collapsed="false">
      <c r="A37" s="0" t="n">
        <v>150</v>
      </c>
      <c r="B37" s="3" t="n">
        <v>0.814</v>
      </c>
      <c r="C37" s="3" t="n">
        <v>0.802</v>
      </c>
      <c r="D37" s="1" t="n">
        <f aca="false">(B37+C37)/2</f>
        <v>0.808</v>
      </c>
      <c r="E37" s="1" t="n">
        <f aca="false">C37/MAX($C$7:$C$37)</f>
        <v>0.806841046277666</v>
      </c>
      <c r="F37" s="1" t="n">
        <f aca="false">COS(((A37*3.14)/180)-(($A$21*3.14)/180))^2</f>
        <v>0.585603912157421</v>
      </c>
      <c r="I37" s="0" t="n">
        <v>150</v>
      </c>
      <c r="J37" s="0" t="n">
        <v>0.093</v>
      </c>
      <c r="K37" s="0" t="n">
        <v>0.091</v>
      </c>
      <c r="L37" s="1" t="n">
        <f aca="false">(J37+K37)/2</f>
        <v>0.092</v>
      </c>
      <c r="M37" s="5" t="n">
        <f aca="false">L37/MAX($L$7:$L$37)</f>
        <v>0.929292929292929</v>
      </c>
      <c r="N37" s="1" t="n">
        <f aca="false">COS(((I37*3.14)/180)-(($I$21*3.14)/180))^2</f>
        <v>0.585603912157421</v>
      </c>
      <c r="AB37" s="6"/>
      <c r="AC37" s="6"/>
      <c r="AD37" s="6"/>
      <c r="AE37" s="7"/>
      <c r="AF37" s="7"/>
      <c r="AG37" s="7"/>
      <c r="AH37" s="7"/>
      <c r="AI37" s="6"/>
      <c r="AJ37" s="6"/>
      <c r="AK37" s="6"/>
      <c r="AL37" s="7"/>
      <c r="AM37" s="7"/>
      <c r="AN37" s="6"/>
      <c r="AO37" s="6"/>
      <c r="AP37" s="6"/>
      <c r="AQ37" s="6"/>
      <c r="AR37" s="6"/>
      <c r="AS37" s="6"/>
      <c r="AT37" s="6"/>
      <c r="AU37" s="6"/>
    </row>
    <row r="38" customFormat="false" ht="14.25" hidden="false" customHeight="false" outlineLevel="0" collapsed="false">
      <c r="AB38" s="6"/>
      <c r="AC38" s="6"/>
      <c r="AD38" s="6"/>
      <c r="AE38" s="7"/>
      <c r="AF38" s="7"/>
      <c r="AG38" s="7"/>
      <c r="AH38" s="7"/>
      <c r="AI38" s="6"/>
      <c r="AJ38" s="6"/>
      <c r="AK38" s="6"/>
      <c r="AL38" s="7"/>
      <c r="AM38" s="7"/>
      <c r="AN38" s="6"/>
      <c r="AO38" s="6"/>
      <c r="AP38" s="6"/>
      <c r="AQ38" s="6"/>
      <c r="AR38" s="6"/>
      <c r="AS38" s="6"/>
      <c r="AT38" s="6"/>
      <c r="AU38" s="6"/>
    </row>
    <row r="39" customFormat="false" ht="14.25" hidden="false" customHeight="false" outlineLevel="0" collapsed="false">
      <c r="A39" s="6"/>
      <c r="AB39" s="6"/>
      <c r="AC39" s="6"/>
      <c r="AD39" s="6"/>
      <c r="AE39" s="7"/>
      <c r="AF39" s="7"/>
      <c r="AG39" s="7"/>
      <c r="AH39" s="7"/>
      <c r="AI39" s="6"/>
      <c r="AJ39" s="6"/>
      <c r="AK39" s="6"/>
      <c r="AL39" s="7"/>
      <c r="AM39" s="7"/>
      <c r="AN39" s="6"/>
      <c r="AO39" s="6"/>
      <c r="AP39" s="6"/>
      <c r="AQ39" s="6"/>
      <c r="AR39" s="6"/>
      <c r="AS39" s="6"/>
      <c r="AT39" s="6"/>
      <c r="AU39" s="6"/>
    </row>
    <row r="40" customFormat="false" ht="14.25" hidden="false" customHeight="false" outlineLevel="0" collapsed="false">
      <c r="A40" s="6"/>
      <c r="AB40" s="6"/>
      <c r="AC40" s="6"/>
      <c r="AD40" s="6"/>
      <c r="AE40" s="7"/>
      <c r="AF40" s="7"/>
      <c r="AG40" s="7"/>
      <c r="AH40" s="7"/>
      <c r="AI40" s="6"/>
      <c r="AJ40" s="6"/>
      <c r="AK40" s="6"/>
      <c r="AL40" s="7"/>
      <c r="AM40" s="7"/>
      <c r="AN40" s="6"/>
      <c r="AO40" s="6"/>
      <c r="AP40" s="6"/>
      <c r="AQ40" s="6"/>
      <c r="AR40" s="6"/>
      <c r="AS40" s="6"/>
      <c r="AT40" s="6"/>
      <c r="AU40" s="6"/>
    </row>
    <row r="41" customFormat="false" ht="14.25" hidden="false" customHeight="false" outlineLevel="0" collapsed="false">
      <c r="A41" s="6"/>
      <c r="AB41" s="6"/>
      <c r="AC41" s="6"/>
      <c r="AD41" s="6"/>
      <c r="AE41" s="7"/>
      <c r="AF41" s="7"/>
      <c r="AG41" s="7"/>
      <c r="AH41" s="7"/>
      <c r="AI41" s="6"/>
      <c r="AJ41" s="6"/>
      <c r="AK41" s="6"/>
      <c r="AL41" s="7"/>
      <c r="AM41" s="7"/>
      <c r="AN41" s="6"/>
      <c r="AO41" s="6"/>
      <c r="AP41" s="6"/>
      <c r="AQ41" s="6"/>
      <c r="AR41" s="6"/>
      <c r="AS41" s="6"/>
      <c r="AT41" s="6"/>
      <c r="AU41" s="6"/>
    </row>
    <row r="42" customFormat="false" ht="14.25" hidden="false" customHeight="false" outlineLevel="0" collapsed="false">
      <c r="A42" s="6"/>
      <c r="AB42" s="6"/>
      <c r="AC42" s="6"/>
      <c r="AD42" s="6"/>
      <c r="AE42" s="7"/>
      <c r="AF42" s="7"/>
      <c r="AG42" s="7"/>
      <c r="AH42" s="7"/>
      <c r="AI42" s="6"/>
      <c r="AJ42" s="6"/>
      <c r="AK42" s="6"/>
      <c r="AL42" s="7"/>
      <c r="AM42" s="7"/>
      <c r="AN42" s="6"/>
      <c r="AO42" s="6"/>
      <c r="AP42" s="6"/>
      <c r="AQ42" s="6"/>
      <c r="AR42" s="6"/>
      <c r="AS42" s="6"/>
      <c r="AT42" s="6"/>
      <c r="AU42" s="6"/>
    </row>
    <row r="43" customFormat="false" ht="14.25" hidden="false" customHeight="false" outlineLevel="0" collapsed="false">
      <c r="A43" s="6"/>
      <c r="AB43" s="6"/>
      <c r="AC43" s="6"/>
      <c r="AD43" s="6"/>
      <c r="AE43" s="7"/>
      <c r="AF43" s="7"/>
      <c r="AG43" s="7"/>
      <c r="AH43" s="7"/>
      <c r="AI43" s="6"/>
      <c r="AJ43" s="6"/>
      <c r="AK43" s="6"/>
      <c r="AL43" s="7"/>
      <c r="AM43" s="7"/>
      <c r="AN43" s="6"/>
      <c r="AO43" s="6"/>
      <c r="AP43" s="6"/>
      <c r="AQ43" s="6"/>
      <c r="AR43" s="6"/>
      <c r="AS43" s="6"/>
      <c r="AT43" s="6"/>
      <c r="AU43" s="6"/>
    </row>
    <row r="44" customFormat="false" ht="14.25" hidden="false" customHeight="false" outlineLevel="0" collapsed="false">
      <c r="A44" s="6"/>
      <c r="AB44" s="6"/>
      <c r="AC44" s="6"/>
      <c r="AD44" s="6"/>
      <c r="AE44" s="7"/>
      <c r="AF44" s="7"/>
      <c r="AG44" s="7"/>
      <c r="AH44" s="7"/>
      <c r="AI44" s="6"/>
      <c r="AJ44" s="6"/>
      <c r="AK44" s="6"/>
      <c r="AL44" s="7"/>
      <c r="AM44" s="7"/>
      <c r="AN44" s="6"/>
      <c r="AO44" s="6"/>
      <c r="AP44" s="6"/>
      <c r="AQ44" s="6"/>
      <c r="AR44" s="6"/>
      <c r="AS44" s="6"/>
      <c r="AT44" s="6"/>
      <c r="AU44" s="6"/>
    </row>
    <row r="45" customFormat="false" ht="14.25" hidden="false" customHeight="false" outlineLevel="0" collapsed="false">
      <c r="A45" s="6"/>
      <c r="AB45" s="6"/>
      <c r="AC45" s="6"/>
      <c r="AD45" s="6"/>
      <c r="AE45" s="7"/>
      <c r="AF45" s="7"/>
      <c r="AG45" s="7"/>
      <c r="AH45" s="7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</row>
    <row r="46" customFormat="false" ht="14.25" hidden="false" customHeight="false" outlineLevel="0" collapsed="false">
      <c r="A46" s="6"/>
      <c r="AB46" s="6"/>
      <c r="AC46" s="6"/>
      <c r="AD46" s="6"/>
      <c r="AE46" s="7"/>
      <c r="AF46" s="7"/>
      <c r="AG46" s="7"/>
      <c r="AH46" s="7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</row>
    <row r="47" customFormat="false" ht="14.25" hidden="false" customHeight="false" outlineLevel="0" collapsed="false">
      <c r="A47" s="6"/>
      <c r="AB47" s="6"/>
      <c r="AC47" s="6"/>
      <c r="AD47" s="6"/>
      <c r="AE47" s="7"/>
      <c r="AF47" s="7"/>
      <c r="AG47" s="7"/>
      <c r="AH47" s="7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</row>
    <row r="48" customFormat="false" ht="14.25" hidden="false" customHeight="false" outlineLevel="0" collapsed="false">
      <c r="A48" s="6"/>
      <c r="AB48" s="6"/>
      <c r="AC48" s="6"/>
      <c r="AD48" s="6"/>
      <c r="AE48" s="7"/>
      <c r="AF48" s="7"/>
      <c r="AG48" s="7"/>
      <c r="AH48" s="7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</row>
    <row r="49" customFormat="false" ht="14.25" hidden="false" customHeight="false" outlineLevel="0" collapsed="false">
      <c r="A49" s="6"/>
      <c r="AB49" s="6"/>
      <c r="AC49" s="6"/>
      <c r="AD49" s="6"/>
      <c r="AE49" s="7"/>
      <c r="AF49" s="7"/>
      <c r="AG49" s="7"/>
      <c r="AH49" s="7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</row>
    <row r="50" customFormat="false" ht="14.25" hidden="false" customHeight="false" outlineLevel="0" collapsed="false">
      <c r="A50" s="6"/>
      <c r="AB50" s="6"/>
      <c r="AC50" s="6"/>
      <c r="AD50" s="6"/>
      <c r="AE50" s="7"/>
      <c r="AF50" s="7"/>
      <c r="AG50" s="7"/>
      <c r="AH50" s="7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</row>
    <row r="51" customFormat="false" ht="14.25" hidden="false" customHeight="false" outlineLevel="0" collapsed="false">
      <c r="A51" s="6"/>
      <c r="AB51" s="6"/>
      <c r="AC51" s="6"/>
      <c r="AD51" s="6"/>
      <c r="AE51" s="7"/>
      <c r="AF51" s="7"/>
      <c r="AG51" s="7"/>
      <c r="AH51" s="7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</row>
    <row r="52" customFormat="false" ht="14.25" hidden="false" customHeight="false" outlineLevel="0" collapsed="false">
      <c r="A52" s="6"/>
      <c r="AB52" s="6"/>
      <c r="AC52" s="6"/>
      <c r="AD52" s="6"/>
      <c r="AE52" s="7"/>
      <c r="AF52" s="7"/>
      <c r="AG52" s="7"/>
      <c r="AH52" s="7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</row>
    <row r="53" customFormat="false" ht="14.25" hidden="false" customHeight="false" outlineLevel="0" collapsed="false">
      <c r="A53" s="6"/>
      <c r="AB53" s="6"/>
      <c r="AC53" s="6"/>
      <c r="AD53" s="6"/>
      <c r="AE53" s="7"/>
      <c r="AF53" s="7"/>
      <c r="AG53" s="7"/>
      <c r="AH53" s="7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</row>
    <row r="54" customFormat="false" ht="14.25" hidden="false" customHeight="false" outlineLevel="0" collapsed="false">
      <c r="A54" s="6"/>
      <c r="AB54" s="6"/>
      <c r="AC54" s="6"/>
      <c r="AD54" s="6"/>
      <c r="AE54" s="7"/>
      <c r="AF54" s="7"/>
      <c r="AG54" s="7"/>
      <c r="AH54" s="7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</row>
    <row r="55" customFormat="false" ht="14.25" hidden="false" customHeight="false" outlineLevel="0" collapsed="false">
      <c r="A55" s="6"/>
      <c r="AB55" s="6"/>
      <c r="AC55" s="6"/>
      <c r="AD55" s="6"/>
      <c r="AE55" s="7"/>
      <c r="AF55" s="7"/>
      <c r="AG55" s="7"/>
      <c r="AH55" s="7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</row>
    <row r="56" customFormat="false" ht="14.25" hidden="false" customHeight="false" outlineLevel="0" collapsed="false">
      <c r="A56" s="6"/>
      <c r="AB56" s="6"/>
      <c r="AC56" s="6"/>
      <c r="AD56" s="6"/>
      <c r="AE56" s="7"/>
      <c r="AF56" s="7"/>
      <c r="AG56" s="7"/>
      <c r="AH56" s="7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</row>
    <row r="57" customFormat="false" ht="14.25" hidden="false" customHeight="false" outlineLevel="0" collapsed="false">
      <c r="A57" s="6"/>
      <c r="AB57" s="6"/>
      <c r="AC57" s="6"/>
      <c r="AD57" s="6"/>
      <c r="AE57" s="7"/>
      <c r="AF57" s="7"/>
      <c r="AG57" s="7"/>
      <c r="AH57" s="7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</row>
    <row r="58" customFormat="false" ht="14.25" hidden="false" customHeight="false" outlineLevel="0" collapsed="false">
      <c r="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</row>
    <row r="59" customFormat="false" ht="14.25" hidden="false" customHeight="false" outlineLevel="0" collapsed="false">
      <c r="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</row>
    <row r="60" customFormat="false" ht="14.25" hidden="false" customHeight="false" outlineLevel="0" collapsed="false">
      <c r="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</row>
    <row r="61" customFormat="false" ht="14.25" hidden="false" customHeight="false" outlineLevel="0" collapsed="false">
      <c r="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</row>
    <row r="62" customFormat="false" ht="14.25" hidden="false" customHeight="false" outlineLevel="0" collapsed="false">
      <c r="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</row>
    <row r="63" customFormat="false" ht="14.25" hidden="false" customHeight="false" outlineLevel="0" collapsed="false">
      <c r="A63" s="6"/>
      <c r="AB63" s="6"/>
      <c r="AC63" s="6"/>
      <c r="AD63" s="6"/>
      <c r="AE63" s="7"/>
      <c r="AF63" s="7"/>
      <c r="AG63" s="7"/>
      <c r="AH63" s="7"/>
      <c r="AI63" s="7"/>
      <c r="AJ63" s="6"/>
      <c r="AK63" s="6"/>
      <c r="AL63" s="7"/>
      <c r="AM63" s="7"/>
      <c r="AN63" s="7"/>
      <c r="AO63" s="7"/>
      <c r="AP63" s="6"/>
      <c r="AQ63" s="6"/>
      <c r="AR63" s="6"/>
      <c r="AS63" s="6"/>
      <c r="AT63" s="6"/>
      <c r="AU63" s="6"/>
    </row>
    <row r="64" customFormat="false" ht="14.25" hidden="false" customHeight="false" outlineLevel="0" collapsed="false">
      <c r="A64" s="6"/>
      <c r="AB64" s="6"/>
      <c r="AC64" s="6"/>
      <c r="AD64" s="6"/>
      <c r="AE64" s="7"/>
      <c r="AF64" s="7"/>
      <c r="AG64" s="7"/>
      <c r="AH64" s="7"/>
      <c r="AI64" s="7"/>
      <c r="AJ64" s="6"/>
      <c r="AK64" s="6"/>
      <c r="AL64" s="7"/>
      <c r="AM64" s="7"/>
      <c r="AN64" s="7"/>
      <c r="AO64" s="7"/>
      <c r="AP64" s="6"/>
      <c r="AQ64" s="6"/>
      <c r="AR64" s="6"/>
      <c r="AS64" s="6"/>
      <c r="AT64" s="6"/>
      <c r="AU64" s="6"/>
    </row>
    <row r="65" customFormat="false" ht="14.25" hidden="false" customHeight="false" outlineLevel="0" collapsed="false">
      <c r="A65" s="6"/>
      <c r="AB65" s="6"/>
      <c r="AC65" s="6"/>
      <c r="AD65" s="6"/>
      <c r="AE65" s="7"/>
      <c r="AF65" s="7"/>
      <c r="AG65" s="7"/>
      <c r="AH65" s="7"/>
      <c r="AI65" s="7"/>
      <c r="AJ65" s="6"/>
      <c r="AK65" s="6"/>
      <c r="AL65" s="7"/>
      <c r="AM65" s="7"/>
      <c r="AN65" s="7"/>
      <c r="AO65" s="7"/>
      <c r="AP65" s="6"/>
      <c r="AQ65" s="6"/>
      <c r="AR65" s="6"/>
      <c r="AS65" s="6"/>
      <c r="AT65" s="6"/>
      <c r="AU65" s="6"/>
    </row>
    <row r="66" customFormat="false" ht="14.25" hidden="false" customHeight="false" outlineLevel="0" collapsed="false">
      <c r="A66" s="6"/>
      <c r="N66" s="6"/>
      <c r="O66" s="6"/>
      <c r="P66" s="6"/>
      <c r="Q66" s="6"/>
      <c r="R66" s="6"/>
      <c r="AB66" s="6"/>
      <c r="AC66" s="6"/>
      <c r="AD66" s="6"/>
      <c r="AE66" s="7"/>
      <c r="AF66" s="7"/>
      <c r="AG66" s="7"/>
      <c r="AH66" s="7"/>
      <c r="AI66" s="7"/>
      <c r="AJ66" s="6"/>
      <c r="AK66" s="6"/>
      <c r="AL66" s="7"/>
      <c r="AM66" s="7"/>
      <c r="AN66" s="7"/>
      <c r="AO66" s="7"/>
      <c r="AP66" s="6"/>
      <c r="AQ66" s="6"/>
      <c r="AR66" s="6"/>
      <c r="AS66" s="6"/>
      <c r="AT66" s="6"/>
      <c r="AU66" s="6"/>
    </row>
    <row r="67" customFormat="false" ht="14.25" hidden="false" customHeight="false" outlineLevel="0" collapsed="false">
      <c r="A67" s="6"/>
      <c r="N67" s="6"/>
      <c r="O67" s="6"/>
      <c r="P67" s="6"/>
      <c r="Q67" s="6"/>
      <c r="R67" s="6"/>
      <c r="AB67" s="6"/>
      <c r="AC67" s="6"/>
      <c r="AD67" s="6"/>
      <c r="AE67" s="7"/>
      <c r="AF67" s="7"/>
      <c r="AG67" s="7"/>
      <c r="AH67" s="7"/>
      <c r="AI67" s="7"/>
      <c r="AJ67" s="6"/>
      <c r="AK67" s="6"/>
      <c r="AL67" s="7"/>
      <c r="AM67" s="7"/>
      <c r="AN67" s="7"/>
      <c r="AO67" s="7"/>
      <c r="AP67" s="6"/>
      <c r="AQ67" s="6"/>
      <c r="AR67" s="6"/>
      <c r="AS67" s="6"/>
      <c r="AT67" s="6"/>
      <c r="AU67" s="6"/>
    </row>
    <row r="68" customFormat="false" ht="14.25" hidden="false" customHeight="false" outlineLevel="0" collapsed="false">
      <c r="A68" s="6"/>
      <c r="N68" s="6"/>
      <c r="O68" s="6"/>
      <c r="P68" s="6"/>
      <c r="Q68" s="6"/>
      <c r="R68" s="6"/>
      <c r="AB68" s="6"/>
      <c r="AC68" s="6"/>
      <c r="AD68" s="6"/>
      <c r="AE68" s="7"/>
      <c r="AF68" s="7"/>
      <c r="AG68" s="7"/>
      <c r="AH68" s="7"/>
      <c r="AI68" s="7"/>
      <c r="AJ68" s="6"/>
      <c r="AK68" s="6"/>
      <c r="AL68" s="7"/>
      <c r="AM68" s="7"/>
      <c r="AN68" s="7"/>
      <c r="AO68" s="7"/>
      <c r="AP68" s="6"/>
      <c r="AQ68" s="6"/>
      <c r="AR68" s="6"/>
      <c r="AS68" s="6"/>
      <c r="AT68" s="6"/>
      <c r="AU68" s="6"/>
    </row>
    <row r="69" customFormat="false" ht="14.25" hidden="false" customHeight="false" outlineLevel="0" collapsed="false">
      <c r="A69" s="6"/>
      <c r="N69" s="6"/>
      <c r="O69" s="6"/>
      <c r="P69" s="6"/>
      <c r="Q69" s="6"/>
      <c r="R69" s="6"/>
      <c r="AB69" s="6"/>
      <c r="AC69" s="6"/>
      <c r="AD69" s="6"/>
      <c r="AE69" s="7"/>
      <c r="AF69" s="7"/>
      <c r="AG69" s="7"/>
      <c r="AH69" s="7"/>
      <c r="AI69" s="7"/>
      <c r="AJ69" s="6"/>
      <c r="AK69" s="6"/>
      <c r="AL69" s="7"/>
      <c r="AM69" s="7"/>
      <c r="AN69" s="7"/>
      <c r="AO69" s="7"/>
      <c r="AP69" s="6"/>
      <c r="AQ69" s="6"/>
      <c r="AR69" s="6"/>
      <c r="AS69" s="6"/>
      <c r="AT69" s="6"/>
      <c r="AU69" s="6"/>
    </row>
    <row r="70" customFormat="false" ht="14.25" hidden="false" customHeight="false" outlineLevel="0" collapsed="false">
      <c r="A70" s="6"/>
      <c r="N70" s="6"/>
      <c r="O70" s="6"/>
      <c r="P70" s="6"/>
      <c r="Q70" s="6"/>
      <c r="R70" s="6"/>
      <c r="AB70" s="6"/>
      <c r="AC70" s="6"/>
      <c r="AD70" s="6"/>
      <c r="AE70" s="7"/>
      <c r="AF70" s="7"/>
      <c r="AG70" s="7"/>
      <c r="AH70" s="7"/>
      <c r="AI70" s="7"/>
      <c r="AJ70" s="6"/>
      <c r="AK70" s="6"/>
      <c r="AL70" s="7"/>
      <c r="AM70" s="7"/>
      <c r="AN70" s="7"/>
      <c r="AO70" s="7"/>
      <c r="AP70" s="6"/>
      <c r="AQ70" s="6"/>
      <c r="AR70" s="6"/>
      <c r="AS70" s="6"/>
      <c r="AT70" s="6"/>
      <c r="AU70" s="6"/>
    </row>
    <row r="71" customFormat="false" ht="14.25" hidden="false" customHeight="false" outlineLevel="0" collapsed="false">
      <c r="A71" s="6"/>
      <c r="N71" s="6"/>
      <c r="O71" s="6"/>
      <c r="P71" s="6"/>
      <c r="Q71" s="6"/>
      <c r="R71" s="6"/>
      <c r="AB71" s="6"/>
      <c r="AC71" s="6"/>
      <c r="AD71" s="6"/>
      <c r="AE71" s="7"/>
      <c r="AF71" s="7"/>
      <c r="AG71" s="7"/>
      <c r="AH71" s="7"/>
      <c r="AI71" s="7"/>
      <c r="AJ71" s="6"/>
      <c r="AK71" s="6"/>
      <c r="AL71" s="7"/>
      <c r="AM71" s="7"/>
      <c r="AN71" s="7"/>
      <c r="AO71" s="7"/>
      <c r="AP71" s="6"/>
      <c r="AQ71" s="6"/>
      <c r="AR71" s="6"/>
      <c r="AS71" s="6"/>
      <c r="AT71" s="6"/>
      <c r="AU71" s="6"/>
    </row>
    <row r="72" customFormat="false" ht="14.25" hidden="false" customHeight="false" outlineLevel="0" collapsed="false">
      <c r="A72" s="6"/>
      <c r="N72" s="6"/>
      <c r="O72" s="6"/>
      <c r="P72" s="6"/>
      <c r="Q72" s="6"/>
      <c r="R72" s="6"/>
      <c r="AB72" s="6"/>
      <c r="AC72" s="6"/>
      <c r="AD72" s="6"/>
      <c r="AE72" s="7"/>
      <c r="AF72" s="7"/>
      <c r="AG72" s="7"/>
      <c r="AH72" s="7"/>
      <c r="AI72" s="7"/>
      <c r="AJ72" s="6"/>
      <c r="AK72" s="6"/>
      <c r="AL72" s="7"/>
      <c r="AM72" s="7"/>
      <c r="AN72" s="7"/>
      <c r="AO72" s="7"/>
      <c r="AP72" s="6"/>
      <c r="AQ72" s="6"/>
      <c r="AR72" s="6"/>
      <c r="AS72" s="6"/>
      <c r="AT72" s="6"/>
      <c r="AU72" s="6"/>
    </row>
    <row r="73" customFormat="false" ht="14.25" hidden="false" customHeight="false" outlineLevel="0" collapsed="false">
      <c r="A73" s="6"/>
      <c r="N73" s="6"/>
      <c r="O73" s="6"/>
      <c r="P73" s="6"/>
      <c r="Q73" s="6"/>
      <c r="R73" s="6"/>
      <c r="AB73" s="6"/>
      <c r="AC73" s="6"/>
      <c r="AD73" s="6"/>
      <c r="AE73" s="7"/>
      <c r="AF73" s="7"/>
      <c r="AG73" s="7"/>
      <c r="AH73" s="7"/>
      <c r="AI73" s="7"/>
      <c r="AJ73" s="6"/>
      <c r="AK73" s="6"/>
      <c r="AL73" s="7"/>
      <c r="AM73" s="7"/>
      <c r="AN73" s="7"/>
      <c r="AO73" s="7"/>
      <c r="AP73" s="6"/>
      <c r="AQ73" s="6"/>
      <c r="AR73" s="6"/>
      <c r="AS73" s="6"/>
      <c r="AT73" s="6"/>
      <c r="AU73" s="6"/>
    </row>
    <row r="74" customFormat="false" ht="14.25" hidden="false" customHeight="false" outlineLevel="0" collapsed="false">
      <c r="A74" s="6"/>
      <c r="N74" s="6"/>
      <c r="O74" s="6"/>
      <c r="P74" s="6"/>
      <c r="Q74" s="6"/>
      <c r="R74" s="6"/>
      <c r="AB74" s="6"/>
      <c r="AC74" s="6"/>
      <c r="AD74" s="6"/>
      <c r="AE74" s="7"/>
      <c r="AF74" s="7"/>
      <c r="AG74" s="7"/>
      <c r="AH74" s="7"/>
      <c r="AI74" s="7"/>
      <c r="AJ74" s="6"/>
      <c r="AK74" s="6"/>
      <c r="AL74" s="7"/>
      <c r="AM74" s="7"/>
      <c r="AN74" s="7"/>
      <c r="AO74" s="7"/>
      <c r="AP74" s="6"/>
      <c r="AQ74" s="6"/>
      <c r="AR74" s="6"/>
      <c r="AS74" s="6"/>
      <c r="AT74" s="6"/>
      <c r="AU74" s="6"/>
    </row>
    <row r="75" customFormat="false" ht="14.25" hidden="false" customHeight="false" outlineLevel="0" collapsed="false">
      <c r="N75" s="6"/>
      <c r="O75" s="6"/>
      <c r="P75" s="6"/>
      <c r="Q75" s="6"/>
      <c r="R75" s="6"/>
      <c r="AB75" s="6"/>
      <c r="AC75" s="6"/>
      <c r="AD75" s="6"/>
      <c r="AE75" s="7"/>
      <c r="AF75" s="7"/>
      <c r="AG75" s="7"/>
      <c r="AH75" s="7"/>
      <c r="AI75" s="7"/>
      <c r="AJ75" s="6"/>
      <c r="AK75" s="6"/>
      <c r="AL75" s="7"/>
      <c r="AM75" s="7"/>
      <c r="AN75" s="7"/>
      <c r="AO75" s="7"/>
      <c r="AP75" s="6"/>
      <c r="AQ75" s="6"/>
      <c r="AR75" s="6"/>
      <c r="AS75" s="6"/>
      <c r="AT75" s="6"/>
      <c r="AU75" s="6"/>
    </row>
    <row r="76" customFormat="false" ht="14.25" hidden="false" customHeight="false" outlineLevel="0" collapsed="false">
      <c r="N76" s="6"/>
      <c r="O76" s="6"/>
      <c r="P76" s="6"/>
      <c r="Q76" s="6"/>
      <c r="R76" s="6"/>
      <c r="AB76" s="6"/>
      <c r="AC76" s="6"/>
      <c r="AD76" s="6"/>
      <c r="AE76" s="7"/>
      <c r="AF76" s="7"/>
      <c r="AG76" s="7"/>
      <c r="AH76" s="7"/>
      <c r="AI76" s="7"/>
      <c r="AJ76" s="6"/>
      <c r="AK76" s="6"/>
      <c r="AL76" s="7"/>
      <c r="AM76" s="7"/>
      <c r="AN76" s="7"/>
      <c r="AO76" s="7"/>
      <c r="AP76" s="6"/>
      <c r="AQ76" s="6"/>
      <c r="AR76" s="6"/>
      <c r="AS76" s="6"/>
      <c r="AT76" s="6"/>
      <c r="AU76" s="6"/>
    </row>
    <row r="77" customFormat="false" ht="14.25" hidden="false" customHeight="false" outlineLevel="0" collapsed="false">
      <c r="N77" s="6"/>
      <c r="O77" s="6"/>
      <c r="P77" s="6"/>
      <c r="Q77" s="6"/>
      <c r="R77" s="6"/>
      <c r="AB77" s="6"/>
      <c r="AC77" s="6"/>
      <c r="AD77" s="6"/>
      <c r="AE77" s="7"/>
      <c r="AF77" s="7"/>
      <c r="AG77" s="7"/>
      <c r="AH77" s="7"/>
      <c r="AI77" s="7"/>
      <c r="AJ77" s="6"/>
      <c r="AK77" s="6"/>
      <c r="AL77" s="7"/>
      <c r="AM77" s="7"/>
      <c r="AN77" s="7"/>
      <c r="AO77" s="7"/>
      <c r="AP77" s="6"/>
      <c r="AQ77" s="6"/>
      <c r="AR77" s="6"/>
      <c r="AS77" s="6"/>
      <c r="AT77" s="6"/>
      <c r="AU77" s="6"/>
    </row>
    <row r="78" customFormat="false" ht="14.25" hidden="false" customHeight="false" outlineLevel="0" collapsed="false">
      <c r="N78" s="6"/>
      <c r="O78" s="6"/>
      <c r="P78" s="6"/>
      <c r="Q78" s="6"/>
      <c r="R78" s="6"/>
      <c r="AB78" s="6"/>
      <c r="AC78" s="6"/>
      <c r="AD78" s="6"/>
      <c r="AE78" s="7"/>
      <c r="AF78" s="7"/>
      <c r="AG78" s="7"/>
      <c r="AH78" s="7"/>
      <c r="AI78" s="7"/>
      <c r="AJ78" s="6"/>
      <c r="AK78" s="6"/>
      <c r="AL78" s="7"/>
      <c r="AM78" s="7"/>
      <c r="AN78" s="7"/>
      <c r="AO78" s="7"/>
      <c r="AP78" s="6"/>
      <c r="AQ78" s="6"/>
      <c r="AR78" s="6"/>
      <c r="AS78" s="6"/>
      <c r="AT78" s="6"/>
      <c r="AU78" s="6"/>
    </row>
    <row r="79" customFormat="false" ht="14.25" hidden="false" customHeight="false" outlineLevel="0" collapsed="false">
      <c r="N79" s="6"/>
      <c r="O79" s="6"/>
      <c r="P79" s="6"/>
      <c r="Q79" s="6"/>
      <c r="R79" s="6"/>
      <c r="AB79" s="6"/>
      <c r="AC79" s="6"/>
      <c r="AD79" s="6"/>
      <c r="AE79" s="7"/>
      <c r="AF79" s="7"/>
      <c r="AG79" s="7"/>
      <c r="AH79" s="7"/>
      <c r="AI79" s="7"/>
      <c r="AJ79" s="6"/>
      <c r="AK79" s="6"/>
      <c r="AL79" s="7"/>
      <c r="AM79" s="7"/>
      <c r="AN79" s="7"/>
      <c r="AO79" s="7"/>
      <c r="AP79" s="6"/>
      <c r="AQ79" s="6"/>
      <c r="AR79" s="6"/>
      <c r="AS79" s="6"/>
      <c r="AT79" s="6"/>
      <c r="AU79" s="6"/>
    </row>
    <row r="80" customFormat="false" ht="14.25" hidden="false" customHeight="false" outlineLevel="0" collapsed="false">
      <c r="N80" s="6"/>
      <c r="O80" s="6"/>
      <c r="P80" s="6"/>
      <c r="Q80" s="6"/>
      <c r="R80" s="6"/>
      <c r="AB80" s="6"/>
      <c r="AC80" s="6"/>
      <c r="AD80" s="6"/>
      <c r="AE80" s="7"/>
      <c r="AF80" s="7"/>
      <c r="AG80" s="7"/>
      <c r="AH80" s="7"/>
      <c r="AI80" s="7"/>
      <c r="AJ80" s="6"/>
      <c r="AK80" s="6"/>
      <c r="AL80" s="7"/>
      <c r="AM80" s="7"/>
      <c r="AN80" s="7"/>
      <c r="AO80" s="7"/>
      <c r="AP80" s="6"/>
      <c r="AQ80" s="6"/>
      <c r="AR80" s="6"/>
      <c r="AS80" s="6"/>
      <c r="AT80" s="6"/>
      <c r="AU80" s="6"/>
    </row>
    <row r="81" customFormat="false" ht="14.25" hidden="false" customHeight="false" outlineLevel="0" collapsed="false">
      <c r="N81" s="6"/>
      <c r="O81" s="6"/>
      <c r="P81" s="6"/>
      <c r="Q81" s="6"/>
      <c r="R81" s="6"/>
      <c r="AB81" s="6"/>
      <c r="AC81" s="6"/>
      <c r="AD81" s="6"/>
      <c r="AE81" s="7"/>
      <c r="AF81" s="7"/>
      <c r="AG81" s="7"/>
      <c r="AH81" s="7"/>
      <c r="AI81" s="7"/>
      <c r="AJ81" s="6"/>
      <c r="AK81" s="6"/>
      <c r="AL81" s="7"/>
      <c r="AM81" s="7"/>
      <c r="AN81" s="7"/>
      <c r="AO81" s="7"/>
      <c r="AP81" s="6"/>
      <c r="AQ81" s="6"/>
      <c r="AR81" s="6"/>
      <c r="AS81" s="6"/>
      <c r="AT81" s="6"/>
      <c r="AU81" s="6"/>
    </row>
    <row r="82" customFormat="false" ht="14.25" hidden="false" customHeight="false" outlineLevel="0" collapsed="false">
      <c r="N82" s="6"/>
      <c r="O82" s="6"/>
      <c r="P82" s="6"/>
      <c r="Q82" s="6"/>
      <c r="R82" s="6"/>
      <c r="AB82" s="6"/>
      <c r="AC82" s="6"/>
      <c r="AD82" s="6"/>
      <c r="AE82" s="7"/>
      <c r="AF82" s="7"/>
      <c r="AG82" s="7"/>
      <c r="AH82" s="7"/>
      <c r="AI82" s="7"/>
      <c r="AJ82" s="6"/>
      <c r="AK82" s="6"/>
      <c r="AL82" s="7"/>
      <c r="AM82" s="7"/>
      <c r="AN82" s="7"/>
      <c r="AO82" s="7"/>
      <c r="AP82" s="6"/>
      <c r="AQ82" s="6"/>
      <c r="AR82" s="6"/>
      <c r="AS82" s="6"/>
      <c r="AT82" s="6"/>
      <c r="AU82" s="6"/>
    </row>
    <row r="83" customFormat="false" ht="14.25" hidden="false" customHeight="false" outlineLevel="0" collapsed="false">
      <c r="N83" s="6"/>
      <c r="O83" s="6"/>
      <c r="P83" s="6"/>
      <c r="Q83" s="6"/>
      <c r="R83" s="6"/>
      <c r="AB83" s="6"/>
      <c r="AC83" s="6"/>
      <c r="AD83" s="6"/>
      <c r="AE83" s="7"/>
      <c r="AF83" s="7"/>
      <c r="AG83" s="7"/>
      <c r="AH83" s="7"/>
      <c r="AI83" s="7"/>
      <c r="AJ83" s="6"/>
      <c r="AK83" s="6"/>
      <c r="AL83" s="7"/>
      <c r="AM83" s="7"/>
      <c r="AN83" s="7"/>
      <c r="AO83" s="7"/>
      <c r="AP83" s="6"/>
      <c r="AQ83" s="6"/>
      <c r="AR83" s="6"/>
      <c r="AS83" s="6"/>
      <c r="AT83" s="6"/>
      <c r="AU83" s="6"/>
    </row>
    <row r="84" customFormat="false" ht="14.25" hidden="false" customHeight="false" outlineLevel="0" collapsed="false">
      <c r="N84" s="6"/>
      <c r="O84" s="6"/>
      <c r="P84" s="6"/>
      <c r="Q84" s="6"/>
      <c r="R84" s="6"/>
      <c r="AB84" s="6"/>
      <c r="AC84" s="6"/>
      <c r="AD84" s="6"/>
      <c r="AE84" s="7"/>
      <c r="AF84" s="7"/>
      <c r="AG84" s="7"/>
      <c r="AH84" s="7"/>
      <c r="AI84" s="7"/>
      <c r="AJ84" s="6"/>
      <c r="AK84" s="6"/>
      <c r="AL84" s="7"/>
      <c r="AM84" s="7"/>
      <c r="AN84" s="7"/>
      <c r="AO84" s="7"/>
      <c r="AP84" s="6"/>
      <c r="AQ84" s="6"/>
      <c r="AR84" s="6"/>
      <c r="AS84" s="6"/>
      <c r="AT84" s="6"/>
      <c r="AU84" s="6"/>
    </row>
    <row r="85" customFormat="false" ht="14.25" hidden="false" customHeight="false" outlineLevel="0" collapsed="false">
      <c r="N85" s="6"/>
      <c r="O85" s="6"/>
      <c r="P85" s="6"/>
      <c r="Q85" s="6"/>
      <c r="R85" s="6"/>
      <c r="AB85" s="6"/>
      <c r="AC85" s="6"/>
      <c r="AD85" s="6"/>
      <c r="AE85" s="7"/>
      <c r="AF85" s="7"/>
      <c r="AG85" s="7"/>
      <c r="AH85" s="7"/>
      <c r="AI85" s="7"/>
      <c r="AJ85" s="6"/>
      <c r="AK85" s="6"/>
      <c r="AL85" s="7"/>
      <c r="AM85" s="7"/>
      <c r="AN85" s="7"/>
      <c r="AO85" s="7"/>
      <c r="AP85" s="6"/>
      <c r="AQ85" s="6"/>
      <c r="AR85" s="6"/>
      <c r="AS85" s="6"/>
      <c r="AT85" s="6"/>
      <c r="AU85" s="6"/>
    </row>
    <row r="86" customFormat="false" ht="14.25" hidden="false" customHeight="false" outlineLevel="0" collapsed="false">
      <c r="N86" s="6"/>
      <c r="O86" s="6"/>
      <c r="P86" s="6"/>
      <c r="Q86" s="6"/>
      <c r="R86" s="6"/>
      <c r="AB86" s="6"/>
      <c r="AC86" s="6"/>
      <c r="AD86" s="6"/>
      <c r="AE86" s="7"/>
      <c r="AF86" s="7"/>
      <c r="AG86" s="7"/>
      <c r="AH86" s="7"/>
      <c r="AI86" s="7"/>
      <c r="AJ86" s="6"/>
      <c r="AK86" s="6"/>
      <c r="AL86" s="7"/>
      <c r="AM86" s="7"/>
      <c r="AN86" s="7"/>
      <c r="AO86" s="7"/>
      <c r="AP86" s="6"/>
      <c r="AQ86" s="6"/>
      <c r="AR86" s="6"/>
      <c r="AS86" s="6"/>
      <c r="AT86" s="6"/>
      <c r="AU86" s="6"/>
    </row>
    <row r="87" customFormat="false" ht="14.25" hidden="false" customHeight="false" outlineLevel="0" collapsed="false">
      <c r="N87" s="6"/>
      <c r="O87" s="6"/>
      <c r="P87" s="6"/>
      <c r="Q87" s="6"/>
      <c r="R87" s="6"/>
      <c r="AB87" s="6"/>
      <c r="AC87" s="6"/>
      <c r="AD87" s="6"/>
      <c r="AE87" s="7"/>
      <c r="AF87" s="7"/>
      <c r="AG87" s="7"/>
      <c r="AH87" s="7"/>
      <c r="AI87" s="7"/>
      <c r="AJ87" s="6"/>
      <c r="AK87" s="6"/>
      <c r="AL87" s="7"/>
      <c r="AM87" s="7"/>
      <c r="AN87" s="7"/>
      <c r="AO87" s="7"/>
      <c r="AP87" s="6"/>
      <c r="AQ87" s="6"/>
      <c r="AR87" s="6"/>
      <c r="AS87" s="6"/>
      <c r="AT87" s="6"/>
      <c r="AU87" s="6"/>
    </row>
    <row r="88" customFormat="false" ht="14.25" hidden="false" customHeight="false" outlineLevel="0" collapsed="false">
      <c r="N88" s="6"/>
      <c r="O88" s="6"/>
      <c r="P88" s="6"/>
      <c r="Q88" s="6"/>
      <c r="R88" s="6"/>
      <c r="AB88" s="6"/>
      <c r="AC88" s="6"/>
      <c r="AD88" s="6"/>
      <c r="AE88" s="7"/>
      <c r="AF88" s="7"/>
      <c r="AG88" s="7"/>
      <c r="AH88" s="7"/>
      <c r="AI88" s="7"/>
      <c r="AJ88" s="6"/>
      <c r="AK88" s="6"/>
      <c r="AL88" s="7"/>
      <c r="AM88" s="7"/>
      <c r="AN88" s="7"/>
      <c r="AO88" s="7"/>
      <c r="AP88" s="6"/>
      <c r="AQ88" s="6"/>
      <c r="AR88" s="6"/>
      <c r="AS88" s="6"/>
      <c r="AT88" s="6"/>
      <c r="AU88" s="6"/>
    </row>
    <row r="89" customFormat="false" ht="14.25" hidden="false" customHeight="false" outlineLevel="0" collapsed="false">
      <c r="N89" s="6"/>
      <c r="O89" s="6"/>
      <c r="P89" s="6"/>
      <c r="Q89" s="6"/>
      <c r="R89" s="6"/>
      <c r="AB89" s="6"/>
      <c r="AC89" s="6"/>
      <c r="AD89" s="6"/>
      <c r="AE89" s="7"/>
      <c r="AF89" s="7"/>
      <c r="AG89" s="7"/>
      <c r="AH89" s="7"/>
      <c r="AI89" s="7"/>
      <c r="AJ89" s="6"/>
      <c r="AK89" s="6"/>
      <c r="AL89" s="7"/>
      <c r="AM89" s="7"/>
      <c r="AN89" s="7"/>
      <c r="AO89" s="7"/>
      <c r="AP89" s="6"/>
      <c r="AQ89" s="6"/>
      <c r="AR89" s="6"/>
      <c r="AS89" s="6"/>
      <c r="AT89" s="6"/>
      <c r="AU89" s="6"/>
    </row>
    <row r="90" customFormat="false" ht="14.25" hidden="false" customHeight="false" outlineLevel="0" collapsed="false">
      <c r="N90" s="6"/>
      <c r="O90" s="6"/>
      <c r="P90" s="6"/>
      <c r="Q90" s="6"/>
      <c r="R90" s="6"/>
      <c r="AB90" s="6"/>
      <c r="AC90" s="6"/>
      <c r="AD90" s="6"/>
      <c r="AE90" s="7"/>
      <c r="AF90" s="7"/>
      <c r="AG90" s="7"/>
      <c r="AH90" s="7"/>
      <c r="AI90" s="7"/>
      <c r="AJ90" s="6"/>
      <c r="AK90" s="6"/>
      <c r="AL90" s="7"/>
      <c r="AM90" s="7"/>
      <c r="AN90" s="7"/>
      <c r="AO90" s="7"/>
      <c r="AP90" s="6"/>
      <c r="AQ90" s="6"/>
      <c r="AR90" s="6"/>
      <c r="AS90" s="6"/>
      <c r="AT90" s="6"/>
      <c r="AU90" s="6"/>
    </row>
    <row r="91" customFormat="false" ht="14.25" hidden="false" customHeight="false" outlineLevel="0" collapsed="false">
      <c r="N91" s="6"/>
      <c r="O91" s="6"/>
      <c r="P91" s="6"/>
      <c r="Q91" s="6"/>
      <c r="R91" s="6"/>
      <c r="AB91" s="6"/>
      <c r="AC91" s="6"/>
      <c r="AD91" s="6"/>
      <c r="AE91" s="7"/>
      <c r="AF91" s="7"/>
      <c r="AG91" s="7"/>
      <c r="AH91" s="7"/>
      <c r="AI91" s="7"/>
      <c r="AJ91" s="6"/>
      <c r="AK91" s="6"/>
      <c r="AL91" s="7"/>
      <c r="AM91" s="7"/>
      <c r="AN91" s="7"/>
      <c r="AO91" s="7"/>
      <c r="AP91" s="6"/>
      <c r="AQ91" s="6"/>
      <c r="AR91" s="6"/>
      <c r="AS91" s="6"/>
      <c r="AT91" s="6"/>
      <c r="AU91" s="6"/>
    </row>
    <row r="92" customFormat="false" ht="14.25" hidden="false" customHeight="false" outlineLevel="0" collapsed="false">
      <c r="N92" s="6"/>
      <c r="O92" s="6"/>
      <c r="P92" s="6"/>
      <c r="Q92" s="6"/>
      <c r="R92" s="6"/>
      <c r="AB92" s="6"/>
      <c r="AC92" s="6"/>
      <c r="AD92" s="6"/>
      <c r="AE92" s="7"/>
      <c r="AF92" s="7"/>
      <c r="AG92" s="7"/>
      <c r="AH92" s="7"/>
      <c r="AI92" s="7"/>
      <c r="AJ92" s="6"/>
      <c r="AK92" s="6"/>
      <c r="AL92" s="7"/>
      <c r="AM92" s="7"/>
      <c r="AN92" s="7"/>
      <c r="AO92" s="7"/>
      <c r="AP92" s="6"/>
      <c r="AQ92" s="6"/>
      <c r="AR92" s="6"/>
      <c r="AS92" s="6"/>
      <c r="AT92" s="6"/>
      <c r="AU92" s="6"/>
    </row>
    <row r="93" customFormat="false" ht="14.25" hidden="false" customHeight="false" outlineLevel="0" collapsed="false">
      <c r="N93" s="6"/>
      <c r="O93" s="6"/>
      <c r="P93" s="6"/>
      <c r="Q93" s="6"/>
      <c r="R93" s="6"/>
      <c r="AB93" s="6"/>
      <c r="AC93" s="6"/>
      <c r="AD93" s="6"/>
      <c r="AE93" s="7"/>
      <c r="AF93" s="7"/>
      <c r="AG93" s="7"/>
      <c r="AH93" s="7"/>
      <c r="AI93" s="7"/>
      <c r="AJ93" s="6"/>
      <c r="AK93" s="6"/>
      <c r="AL93" s="7"/>
      <c r="AM93" s="7"/>
      <c r="AN93" s="7"/>
      <c r="AO93" s="7"/>
      <c r="AP93" s="6"/>
      <c r="AQ93" s="6"/>
      <c r="AR93" s="6"/>
      <c r="AS93" s="6"/>
      <c r="AT93" s="6"/>
      <c r="AU93" s="6"/>
    </row>
    <row r="94" customFormat="false" ht="14.25" hidden="false" customHeight="false" outlineLevel="0" collapsed="false">
      <c r="N94" s="6"/>
      <c r="O94" s="6"/>
      <c r="P94" s="6"/>
      <c r="Q94" s="6"/>
      <c r="R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</row>
    <row r="95" customFormat="false" ht="14.25" hidden="false" customHeight="false" outlineLevel="0" collapsed="false">
      <c r="N95" s="6"/>
      <c r="O95" s="6"/>
      <c r="P95" s="6"/>
      <c r="Q95" s="6"/>
      <c r="R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</row>
    <row r="96" customFormat="false" ht="14.25" hidden="false" customHeight="false" outlineLevel="0" collapsed="false">
      <c r="N96" s="6"/>
      <c r="O96" s="6"/>
      <c r="P96" s="6"/>
      <c r="Q96" s="6"/>
      <c r="R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</row>
    <row r="97" customFormat="false" ht="14.25" hidden="false" customHeight="false" outlineLevel="0" collapsed="false">
      <c r="N97" s="6"/>
      <c r="O97" s="6"/>
      <c r="P97" s="6"/>
      <c r="Q97" s="6"/>
      <c r="R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</row>
    <row r="98" customFormat="false" ht="14.25" hidden="false" customHeight="false" outlineLevel="0" collapsed="false">
      <c r="N98" s="6"/>
      <c r="O98" s="6"/>
      <c r="P98" s="6"/>
      <c r="Q98" s="6"/>
      <c r="R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</row>
    <row r="99" customFormat="false" ht="14.25" hidden="false" customHeight="false" outlineLevel="0" collapsed="false">
      <c r="N99" s="6"/>
      <c r="O99" s="6"/>
      <c r="P99" s="6"/>
      <c r="Q99" s="6"/>
      <c r="R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</row>
    <row r="100" customFormat="false" ht="14.25" hidden="false" customHeight="false" outlineLevel="0" collapsed="false">
      <c r="N100" s="6"/>
      <c r="O100" s="6"/>
      <c r="P100" s="6"/>
      <c r="Q100" s="6"/>
      <c r="R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</row>
    <row r="101" customFormat="false" ht="14.25" hidden="false" customHeight="false" outlineLevel="0" collapsed="false">
      <c r="N101" s="6"/>
      <c r="O101" s="6"/>
      <c r="P101" s="6"/>
      <c r="Q101" s="6"/>
      <c r="R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</row>
    <row r="102" customFormat="false" ht="14.25" hidden="false" customHeight="false" outlineLevel="0" collapsed="false">
      <c r="N102" s="6"/>
      <c r="O102" s="6"/>
      <c r="P102" s="6"/>
      <c r="Q102" s="6"/>
      <c r="R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</row>
    <row r="103" customFormat="false" ht="14.25" hidden="false" customHeight="false" outlineLevel="0" collapsed="false">
      <c r="N103" s="6"/>
      <c r="O103" s="6"/>
      <c r="P103" s="6"/>
      <c r="Q103" s="6"/>
      <c r="R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</row>
    <row r="104" customFormat="false" ht="14.25" hidden="false" customHeight="false" outlineLevel="0" collapsed="false">
      <c r="N104" s="6"/>
      <c r="O104" s="6"/>
      <c r="P104" s="6"/>
      <c r="Q104" s="6"/>
      <c r="R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</row>
    <row r="105" customFormat="false" ht="14.25" hidden="false" customHeight="false" outlineLevel="0" collapsed="false">
      <c r="N105" s="6"/>
      <c r="O105" s="6"/>
      <c r="P105" s="6"/>
      <c r="Q105" s="6"/>
      <c r="R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</row>
    <row r="106" customFormat="false" ht="14.25" hidden="false" customHeight="false" outlineLevel="0" collapsed="false">
      <c r="N106" s="6"/>
      <c r="O106" s="6"/>
      <c r="P106" s="6"/>
      <c r="Q106" s="6"/>
      <c r="R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</row>
    <row r="107" customFormat="false" ht="14.25" hidden="false" customHeight="false" outlineLevel="0" collapsed="false">
      <c r="N107" s="6"/>
      <c r="O107" s="6"/>
      <c r="P107" s="6"/>
      <c r="Q107" s="6"/>
      <c r="R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</row>
    <row r="108" customFormat="false" ht="14.25" hidden="false" customHeight="false" outlineLevel="0" collapsed="false">
      <c r="N108" s="6"/>
      <c r="O108" s="6"/>
      <c r="P108" s="6"/>
      <c r="Q108" s="6"/>
      <c r="R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</row>
    <row r="109" customFormat="false" ht="14.25" hidden="false" customHeight="false" outlineLevel="0" collapsed="false">
      <c r="N109" s="6"/>
      <c r="O109" s="6"/>
      <c r="P109" s="6"/>
      <c r="Q109" s="6"/>
      <c r="R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</row>
    <row r="110" customFormat="false" ht="14.25" hidden="false" customHeight="false" outlineLevel="0" collapsed="false">
      <c r="N110" s="6"/>
      <c r="O110" s="6"/>
      <c r="P110" s="6"/>
      <c r="Q110" s="6"/>
      <c r="R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</row>
    <row r="111" customFormat="false" ht="14.25" hidden="false" customHeight="false" outlineLevel="0" collapsed="false">
      <c r="N111" s="6"/>
      <c r="O111" s="6"/>
      <c r="P111" s="6"/>
      <c r="Q111" s="6"/>
      <c r="R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</row>
    <row r="112" customFormat="false" ht="14.25" hidden="false" customHeight="false" outlineLevel="0" collapsed="false">
      <c r="N112" s="6"/>
      <c r="O112" s="6"/>
      <c r="P112" s="6"/>
      <c r="Q112" s="6"/>
      <c r="R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</row>
    <row r="113" customFormat="false" ht="14.25" hidden="false" customHeight="false" outlineLevel="0" collapsed="false">
      <c r="N113" s="6"/>
      <c r="O113" s="6"/>
      <c r="P113" s="6"/>
      <c r="Q113" s="6"/>
      <c r="R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</row>
    <row r="114" customFormat="false" ht="14.25" hidden="false" customHeight="false" outlineLevel="0" collapsed="false">
      <c r="N114" s="6"/>
      <c r="O114" s="6"/>
      <c r="P114" s="6"/>
      <c r="Q114" s="6"/>
      <c r="R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</row>
    <row r="115" customFormat="false" ht="14.25" hidden="false" customHeight="false" outlineLevel="0" collapsed="false">
      <c r="N115" s="6"/>
      <c r="O115" s="6"/>
      <c r="P115" s="6"/>
      <c r="Q115" s="6"/>
      <c r="R115" s="6"/>
    </row>
    <row r="116" customFormat="false" ht="14.25" hidden="false" customHeight="false" outlineLevel="0" collapsed="false">
      <c r="N116" s="6"/>
      <c r="O116" s="6"/>
      <c r="P116" s="6"/>
      <c r="Q116" s="6"/>
      <c r="R116" s="6"/>
    </row>
    <row r="117" customFormat="false" ht="14.25" hidden="false" customHeight="false" outlineLevel="0" collapsed="false">
      <c r="N117" s="6"/>
      <c r="O117" s="6"/>
      <c r="P117" s="6"/>
      <c r="Q117" s="6"/>
      <c r="R117" s="6"/>
    </row>
  </sheetData>
  <mergeCells count="2">
    <mergeCell ref="D3:F3"/>
    <mergeCell ref="L3:M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LibreOffice/25.8.2.2$Linux_X86_64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2025-10-06T19:15:31Z</dcterms:created>
  <dc:creator>Гоша Демеш</dc:creator>
  <dc:description/>
  <dc:language>en-US</dc:language>
  <cp:lastModifiedBy/>
  <dcterms:modified xsi:type="dcterms:W3CDTF">2025-11-17T19:42:26Z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