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<sst xmlns="http://schemas.openxmlformats.org/spreadsheetml/2006/main" count="15" uniqueCount="15">
  <si>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 измерения</t>
  </si>
  <si>
    <t xml:space="preserve">I, мА</t>
  </si>
  <si>
    <t xml:space="preserve">U, В</t>
  </si>
  <si>
    <t xml:space="preserve">J1/J0</t>
  </si>
  <si>
    <t xml:space="preserve">J2/J0</t>
  </si>
  <si>
    <t xml:space="preserve">J1/J2</t>
  </si>
  <si>
    <t xml:space="preserve">T, К</t>
  </si>
  <si>
    <t xml:space="preserve">P_ист</t>
  </si>
  <si>
    <t xml:space="preserve">A_T</t>
  </si>
  <si>
    <t xml:space="preserve">Консты ниже</t>
  </si>
  <si>
    <t xml:space="preserve">По графику</t>
  </si>
  <si>
    <t xml:space="preserve">вспом. Константы</t>
  </si>
  <si>
    <t xml:space="preserve">L</t>
  </si>
  <si>
    <t xml:space="preserve">K</t>
  </si>
  <si>
    <t xml:space="preserve">P_2000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</si>
</sst>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B4" colorId="64" zoomScale="100" zoomScaleNormal="100" zoomScalePageLayoutView="100" workbookViewId="0">
      <selection pane="topLeft" activeCell="I1" activeCellId="0" sqref="I1:I1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n">
        <v>1</v>
      </c>
      <c r="B2" s="0" t="n">
        <v>194</v>
      </c>
      <c r="C2" s="0" t="n">
        <v>5.04</v>
      </c>
      <c r="D2" s="0" t="n">
        <v>0.008</v>
      </c>
      <c r="E2" s="0" t="n">
        <v>0.114</v>
      </c>
      <c r="F2" s="0" t="n">
        <f aca="false">D2/E2</f>
        <v>0.0701754385964912</v>
      </c>
      <c r="G2" s="0" t="n">
        <f aca="false">$B$18/(LN(F2) - 1.784)</f>
        <v>1462.48033863605</v>
      </c>
      <c r="H2" s="0" t="n">
        <f aca="false">C2*B2</f>
        <v>977.76</v>
      </c>
      <c r="I2" s="0" t="n">
        <f aca="false">0.249*$C$18*H2/(G2)^4</f>
        <v>0.34535324870102</v>
      </c>
    </row>
    <row r="3" customFormat="false" ht="14.25" hidden="false" customHeight="false" outlineLevel="0" collapsed="false">
      <c r="A3" s="0" t="n">
        <v>2</v>
      </c>
      <c r="B3" s="0" t="n">
        <v>201</v>
      </c>
      <c r="C3" s="0" t="n">
        <v>5.42</v>
      </c>
      <c r="D3" s="0" t="n">
        <v>0.013</v>
      </c>
      <c r="E3" s="0" t="n">
        <v>0.157</v>
      </c>
      <c r="F3" s="0" t="n">
        <f aca="false">D3/E3</f>
        <v>0.0828025477707006</v>
      </c>
      <c r="G3" s="0" t="n">
        <f aca="false">$B$18/(LN(F3) - 1.784)</f>
        <v>1519.08054655312</v>
      </c>
      <c r="H3" s="0" t="n">
        <f aca="false">C3*B3</f>
        <v>1089.42</v>
      </c>
      <c r="I3" s="0" t="n">
        <f aca="false">0.249*$C$18*H3/(G3)^4</f>
        <v>0.330570092607498</v>
      </c>
    </row>
    <row r="4" customFormat="false" ht="14.25" hidden="false" customHeight="false" outlineLevel="0" collapsed="false">
      <c r="A4" s="0" t="n">
        <v>3</v>
      </c>
      <c r="B4" s="0" t="n">
        <v>209</v>
      </c>
      <c r="C4" s="0" t="n">
        <v>5.98</v>
      </c>
      <c r="D4" s="0" t="n">
        <v>0.024</v>
      </c>
      <c r="E4" s="0" t="n">
        <v>0.233</v>
      </c>
      <c r="F4" s="0" t="n">
        <f aca="false">D4/E4</f>
        <v>0.103004291845494</v>
      </c>
      <c r="G4" s="0" t="n">
        <f aca="false">$B$18/(LN(F4) - 1.784)</f>
        <v>1600.82432345562</v>
      </c>
      <c r="H4" s="0" t="n">
        <f aca="false">C4*B4</f>
        <v>1249.82</v>
      </c>
      <c r="I4" s="0" t="n">
        <f aca="false">0.249*$C$18*H4/(G4)^4</f>
        <v>0.307513507090219</v>
      </c>
    </row>
    <row r="5" customFormat="false" ht="14.25" hidden="false" customHeight="false" outlineLevel="0" collapsed="false">
      <c r="A5" s="0" t="n">
        <v>4</v>
      </c>
      <c r="B5" s="0" t="n">
        <v>216</v>
      </c>
      <c r="C5" s="0" t="n">
        <v>6.47</v>
      </c>
      <c r="D5" s="0" t="n">
        <v>0.037</v>
      </c>
      <c r="E5" s="0" t="n">
        <v>0.313</v>
      </c>
      <c r="F5" s="0" t="n">
        <f aca="false">D5/E5</f>
        <v>0.118210862619808</v>
      </c>
      <c r="G5" s="0" t="n">
        <f aca="false">$B$18/(LN(F5) - 1.784)</f>
        <v>1657.06734882515</v>
      </c>
      <c r="H5" s="0" t="n">
        <f aca="false">C5*B5</f>
        <v>1397.52</v>
      </c>
      <c r="I5" s="0" t="n">
        <f aca="false">0.249*$C$18*H5/(G5)^4</f>
        <v>0.299494475716973</v>
      </c>
    </row>
    <row r="6" customFormat="false" ht="14.25" hidden="false" customHeight="false" outlineLevel="0" collapsed="false">
      <c r="A6" s="0" t="n">
        <v>5</v>
      </c>
      <c r="B6" s="0" t="n">
        <v>223</v>
      </c>
      <c r="C6" s="0" t="n">
        <v>6.98</v>
      </c>
      <c r="D6" s="0" t="n">
        <v>0.057</v>
      </c>
      <c r="E6" s="0" t="n">
        <v>0.417</v>
      </c>
      <c r="F6" s="0" t="n">
        <f aca="false">D6/E6</f>
        <v>0.136690647482014</v>
      </c>
      <c r="G6" s="0" t="n">
        <f aca="false">$B$18/(LN(F6) - 1.784)</f>
        <v>1720.84247866082</v>
      </c>
      <c r="H6" s="0" t="n">
        <f aca="false">C6*B6</f>
        <v>1556.54</v>
      </c>
      <c r="I6" s="0" t="n">
        <f aca="false">0.249*$C$18*H6/(G6)^4</f>
        <v>0.286805343126335</v>
      </c>
    </row>
    <row r="7" customFormat="false" ht="14.25" hidden="false" customHeight="false" outlineLevel="0" collapsed="false">
      <c r="A7" s="0" t="n">
        <v>6</v>
      </c>
      <c r="B7" s="0" t="n">
        <v>230</v>
      </c>
      <c r="C7" s="0" t="n">
        <v>7.46</v>
      </c>
      <c r="D7" s="0" t="n">
        <v>0.081</v>
      </c>
      <c r="E7" s="0" t="n">
        <v>0.528</v>
      </c>
      <c r="F7" s="0" t="n">
        <f aca="false">D7/E7</f>
        <v>0.153409090909091</v>
      </c>
      <c r="G7" s="0" t="n">
        <f aca="false">$B$18/(LN(F7) - 1.784)</f>
        <v>1775.11507278033</v>
      </c>
      <c r="H7" s="0" t="n">
        <f aca="false">C7*B7</f>
        <v>1715.8</v>
      </c>
      <c r="I7" s="0" t="n">
        <f aca="false">0.249*$C$18*H7/(G7)^4</f>
        <v>0.279223547825809</v>
      </c>
    </row>
    <row r="8" customFormat="false" ht="14.25" hidden="false" customHeight="false" outlineLevel="0" collapsed="false">
      <c r="A8" s="0" t="n">
        <v>7</v>
      </c>
      <c r="B8" s="0" t="n">
        <v>237</v>
      </c>
      <c r="C8" s="0" t="n">
        <v>7.96</v>
      </c>
      <c r="D8" s="0" t="n">
        <v>0.113</v>
      </c>
      <c r="E8" s="0" t="n">
        <v>0.659</v>
      </c>
      <c r="F8" s="0" t="n">
        <f aca="false">D8/E8</f>
        <v>0.171471927162367</v>
      </c>
      <c r="G8" s="0" t="n">
        <f aca="false">$B$18/(LN(F8) - 1.784)</f>
        <v>1830.81619138091</v>
      </c>
      <c r="H8" s="0" t="n">
        <f aca="false">C8*B8</f>
        <v>1886.52</v>
      </c>
      <c r="I8" s="0" t="n">
        <f aca="false">0.249*$C$18*H8/(G8)^4</f>
        <v>0.271315034112837</v>
      </c>
    </row>
    <row r="9" customFormat="false" ht="14.25" hidden="false" customHeight="false" outlineLevel="0" collapsed="false">
      <c r="A9" s="0" t="n">
        <v>8</v>
      </c>
      <c r="B9" s="0" t="n">
        <v>244</v>
      </c>
      <c r="C9" s="0" t="n">
        <v>8.45</v>
      </c>
      <c r="D9" s="0" t="n">
        <v>0.153</v>
      </c>
      <c r="E9" s="0" t="n">
        <v>0.807</v>
      </c>
      <c r="F9" s="0" t="n">
        <f aca="false">D9/E9</f>
        <v>0.189591078066914</v>
      </c>
      <c r="G9" s="0" t="n">
        <f aca="false">$B$18/(LN(F9) - 1.784)</f>
        <v>1884.17027475185</v>
      </c>
      <c r="H9" s="0" t="n">
        <f aca="false">C9*B9</f>
        <v>2061.8</v>
      </c>
      <c r="I9" s="0" t="n">
        <f aca="false">0.249*$C$18*H9/(G9)^4</f>
        <v>0.264336641402119</v>
      </c>
    </row>
    <row r="10" customFormat="false" ht="14.25" hidden="false" customHeight="false" outlineLevel="0" collapsed="false">
      <c r="A10" s="0" t="n">
        <v>9</v>
      </c>
      <c r="B10" s="0" t="n">
        <v>250</v>
      </c>
      <c r="C10" s="0" t="n">
        <v>8.93</v>
      </c>
      <c r="D10" s="0" t="n">
        <v>0.201</v>
      </c>
      <c r="E10" s="0" t="n">
        <v>0.967</v>
      </c>
      <c r="F10" s="0" t="n">
        <f aca="false">D10/E10</f>
        <v>0.207859358841779</v>
      </c>
      <c r="G10" s="0" t="n">
        <f aca="false">$B$18/(LN(F10) - 1.784)</f>
        <v>1935.83477256481</v>
      </c>
      <c r="H10" s="0" t="n">
        <f aca="false">C10*B10</f>
        <v>2232.5</v>
      </c>
      <c r="I10" s="0" t="n">
        <f aca="false">0.249*$C$18*H10/(G10)^4</f>
        <v>0.256867846757145</v>
      </c>
    </row>
    <row r="11" customFormat="false" ht="14.25" hidden="false" customHeight="false" outlineLevel="0" collapsed="false">
      <c r="A11" s="0" t="n">
        <v>10</v>
      </c>
      <c r="B11" s="0" t="n">
        <v>257</v>
      </c>
      <c r="C11" s="0" t="n">
        <v>9.46</v>
      </c>
      <c r="D11" s="0" t="n">
        <v>0.264</v>
      </c>
      <c r="E11" s="0" t="n">
        <v>1.159</v>
      </c>
      <c r="F11" s="0" t="n">
        <f aca="false">D11/E11</f>
        <v>0.227782571182054</v>
      </c>
      <c r="G11" s="0" t="n">
        <f aca="false">$B$18/(LN(F11) - 1.784)</f>
        <v>1990.13048553008</v>
      </c>
      <c r="H11" s="0" t="n">
        <f aca="false">C11*B11</f>
        <v>2431.22</v>
      </c>
      <c r="I11" s="0" t="n">
        <f aca="false">0.249*$C$18*H11/(G11)^4</f>
        <v>0.250431799489313</v>
      </c>
    </row>
    <row r="12" customFormat="false" ht="14.25" hidden="false" customHeight="false" outlineLevel="0" collapsed="false">
      <c r="A12" s="0" t="n">
        <v>11</v>
      </c>
      <c r="B12" s="0" t="n">
        <v>261</v>
      </c>
      <c r="C12" s="0" t="n">
        <v>9.82</v>
      </c>
      <c r="D12" s="0" t="n">
        <v>0.314</v>
      </c>
      <c r="E12" s="0" t="n">
        <v>1.297</v>
      </c>
      <c r="F12" s="0" t="n">
        <f aca="false">D12/E12</f>
        <v>0.242097147262914</v>
      </c>
      <c r="G12" s="0" t="n">
        <f aca="false">$B$18/(LN(F12) - 1.784)</f>
        <v>2028.00612486304</v>
      </c>
      <c r="H12" s="0" t="n">
        <f aca="false">C12*B12</f>
        <v>2563.02</v>
      </c>
      <c r="I12" s="0" t="n">
        <f aca="false">0.249*$C$18*H12/(G12)^4</f>
        <v>0.244830979526024</v>
      </c>
    </row>
    <row r="13" customFormat="false" ht="14.25" hidden="false" customHeight="false" outlineLevel="0" collapsed="false">
      <c r="A13" s="0" t="n">
        <v>12</v>
      </c>
      <c r="B13" s="0" t="n">
        <v>267</v>
      </c>
      <c r="C13" s="0" t="n">
        <v>10.34</v>
      </c>
      <c r="D13" s="0" t="n">
        <v>0.397</v>
      </c>
      <c r="E13" s="0" t="n">
        <v>1.518</v>
      </c>
      <c r="F13" s="0" t="n">
        <f aca="false">D13/E13</f>
        <v>0.261528326745718</v>
      </c>
      <c r="G13" s="0" t="n">
        <f aca="false">$B$18/(LN(F13) - 1.784)</f>
        <v>2078.10486370131</v>
      </c>
      <c r="H13" s="0" t="n">
        <f aca="false">C13*B13</f>
        <v>2760.78</v>
      </c>
      <c r="I13" s="0" t="n">
        <f aca="false">0.249*$C$18*H13/(G13)^4</f>
        <v>0.239195711546594</v>
      </c>
    </row>
    <row r="14" customFormat="false" ht="14.25" hidden="false" customHeight="false" outlineLevel="0" collapsed="false">
      <c r="A14" s="0" t="n">
        <v>13</v>
      </c>
      <c r="B14" s="0" t="n">
        <v>272</v>
      </c>
      <c r="C14" s="0" t="n">
        <v>10.68</v>
      </c>
      <c r="D14" s="0" t="n">
        <v>0.459</v>
      </c>
      <c r="E14" s="0" t="n">
        <v>1.667</v>
      </c>
      <c r="F14" s="0" t="n">
        <f aca="false">D14/E14</f>
        <v>0.275344931013797</v>
      </c>
      <c r="G14" s="0" t="n">
        <f aca="false">$B$18/(LN(F14) - 1.784)</f>
        <v>2112.91110260099</v>
      </c>
      <c r="H14" s="0" t="n">
        <f aca="false">C14*B14</f>
        <v>2904.96</v>
      </c>
      <c r="I14" s="0" t="n">
        <f aca="false">0.249*$C$18*H14/(G14)^4</f>
        <v>0.235508550870523</v>
      </c>
    </row>
    <row r="16" customFormat="false" ht="14.25" hidden="false" customHeight="false" outlineLevel="0" collapsed="false">
      <c r="B16" s="0" t="s">
        <v>9</v>
      </c>
      <c r="E16" s="0" t="s">
        <v>10</v>
      </c>
    </row>
    <row r="17" customFormat="false" ht="14.25" hidden="false" customHeight="false" outlineLevel="0" collapsed="false">
      <c r="A17" s="0" t="s">
        <v>11</v>
      </c>
      <c r="B17" s="0" t="s">
        <v>12</v>
      </c>
      <c r="C17" s="0" t="s">
        <v>13</v>
      </c>
      <c r="E17" s="0" t="s">
        <v>14</v>
      </c>
    </row>
    <row r="18" customFormat="false" ht="14.25" hidden="false" customHeight="false" outlineLevel="0" collapsed="false">
      <c r="B18" s="0" t="n">
        <f aca="false">1.439 * 10^(-2) * (1/0.94 - 1/0.66) * 10^6</f>
        <v>-6494.51966473243</v>
      </c>
      <c r="C18" s="0" t="n">
        <f aca="false">(2000^4)/E18</f>
        <v>6489213710.08627</v>
      </c>
      <c r="E18" s="0" t="n">
        <v>2465.63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Akinetri .</dc:creator>
  <dc:description/>
  <dc:language>en-US</dc:language>
  <cp:lastModifiedBy/>
  <dcterms:modified xsi:type="dcterms:W3CDTF">2026-02-13T16:20:50Z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